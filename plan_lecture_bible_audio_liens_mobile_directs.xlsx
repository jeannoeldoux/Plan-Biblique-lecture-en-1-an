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2afe2ed35901d1/Bureau/"/>
    </mc:Choice>
  </mc:AlternateContent>
  <xr:revisionPtr revIDLastSave="1" documentId="11_3F8CBA20D80ACFAAE5C42EFF98A4765A49168618" xr6:coauthVersionLast="47" xr6:coauthVersionMax="47" xr10:uidLastSave="{C9F91A67-0A79-43EE-82F3-0869BE3C5810}"/>
  <bookViews>
    <workbookView xWindow="-108" yWindow="-108" windowWidth="23256" windowHeight="12456" xr2:uid="{00000000-000D-0000-FFFF-FFFF00000000}"/>
  </bookViews>
  <sheets>
    <sheet name="Plan annuel" sheetId="1" r:id="rId1"/>
    <sheet name="Mode d'emploi" sheetId="2" r:id="rId2"/>
    <sheet name="Couverture NT" sheetId="3" r:id="rId3"/>
    <sheet name="Index des thèmes" sheetId="4" r:id="rId4"/>
    <sheet name="Audio quotidien" sheetId="5" r:id="rId5"/>
    <sheet name="Sources audio" sheetId="6" r:id="rId6"/>
    <sheet name="Lecture du jour" sheetId="7" r:id="rId7"/>
    <sheet name="Liens mobile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7" l="1"/>
  <c r="C32" i="7"/>
  <c r="A27" i="7"/>
  <c r="A26" i="7"/>
  <c r="A22" i="7"/>
  <c r="A20" i="7"/>
  <c r="A16" i="7"/>
  <c r="A14" i="7"/>
  <c r="A10" i="7"/>
  <c r="A8" i="7"/>
  <c r="A5" i="7"/>
  <c r="E3" i="7"/>
  <c r="N366" i="1"/>
  <c r="M366" i="1"/>
  <c r="O365" i="1"/>
  <c r="N365" i="1"/>
  <c r="M365" i="1"/>
  <c r="O364" i="1"/>
  <c r="N364" i="1"/>
  <c r="M364" i="1"/>
  <c r="O363" i="1"/>
  <c r="N363" i="1"/>
  <c r="M363" i="1"/>
  <c r="N362" i="1"/>
  <c r="M362" i="1"/>
  <c r="O361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O353" i="1"/>
  <c r="N353" i="1"/>
  <c r="M353" i="1"/>
  <c r="N352" i="1"/>
  <c r="M352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N345" i="1"/>
  <c r="M345" i="1"/>
  <c r="O344" i="1"/>
  <c r="N344" i="1"/>
  <c r="M344" i="1"/>
  <c r="O343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O336" i="1"/>
  <c r="N336" i="1"/>
  <c r="M336" i="1"/>
  <c r="O335" i="1"/>
  <c r="N335" i="1"/>
  <c r="M335" i="1"/>
  <c r="N334" i="1"/>
  <c r="M334" i="1"/>
  <c r="O333" i="1"/>
  <c r="N333" i="1"/>
  <c r="M333" i="1"/>
  <c r="N332" i="1"/>
  <c r="M332" i="1"/>
  <c r="O331" i="1"/>
  <c r="N331" i="1"/>
  <c r="M331" i="1"/>
  <c r="O330" i="1"/>
  <c r="N330" i="1"/>
  <c r="M330" i="1"/>
  <c r="N329" i="1"/>
  <c r="M329" i="1"/>
  <c r="N328" i="1"/>
  <c r="M328" i="1"/>
  <c r="N327" i="1"/>
  <c r="M327" i="1"/>
  <c r="N326" i="1"/>
  <c r="M326" i="1"/>
  <c r="O325" i="1"/>
  <c r="N325" i="1"/>
  <c r="M325" i="1"/>
  <c r="N324" i="1"/>
  <c r="M324" i="1"/>
  <c r="N323" i="1"/>
  <c r="M323" i="1"/>
  <c r="O322" i="1"/>
  <c r="N322" i="1"/>
  <c r="M322" i="1"/>
  <c r="O321" i="1"/>
  <c r="N321" i="1"/>
  <c r="M321" i="1"/>
  <c r="N320" i="1"/>
  <c r="M320" i="1"/>
  <c r="N319" i="1"/>
  <c r="M319" i="1"/>
  <c r="N318" i="1"/>
  <c r="M318" i="1"/>
  <c r="O317" i="1"/>
  <c r="N317" i="1"/>
  <c r="M317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N310" i="1"/>
  <c r="M310" i="1"/>
  <c r="N309" i="1"/>
  <c r="M309" i="1"/>
  <c r="N308" i="1"/>
  <c r="M308" i="1"/>
  <c r="N307" i="1"/>
  <c r="M307" i="1"/>
  <c r="O306" i="1"/>
  <c r="N306" i="1"/>
  <c r="M306" i="1"/>
  <c r="N305" i="1"/>
  <c r="M305" i="1"/>
  <c r="N304" i="1"/>
  <c r="M304" i="1"/>
  <c r="N303" i="1"/>
  <c r="M303" i="1"/>
  <c r="O302" i="1"/>
  <c r="N302" i="1"/>
  <c r="M302" i="1"/>
  <c r="N301" i="1"/>
  <c r="M301" i="1"/>
  <c r="O300" i="1"/>
  <c r="N300" i="1"/>
  <c r="M300" i="1"/>
  <c r="O299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O291" i="1"/>
  <c r="N291" i="1"/>
  <c r="M291" i="1"/>
  <c r="O290" i="1"/>
  <c r="N290" i="1"/>
  <c r="M290" i="1"/>
  <c r="N289" i="1"/>
  <c r="M289" i="1"/>
  <c r="N288" i="1"/>
  <c r="M288" i="1"/>
  <c r="O287" i="1"/>
  <c r="N287" i="1"/>
  <c r="M287" i="1"/>
  <c r="N286" i="1"/>
  <c r="M286" i="1"/>
  <c r="N285" i="1"/>
  <c r="M285" i="1"/>
  <c r="N284" i="1"/>
  <c r="M284" i="1"/>
  <c r="O283" i="1"/>
  <c r="N283" i="1"/>
  <c r="M283" i="1"/>
  <c r="O282" i="1"/>
  <c r="N282" i="1"/>
  <c r="M282" i="1"/>
  <c r="N281" i="1"/>
  <c r="M281" i="1"/>
  <c r="O280" i="1"/>
  <c r="N280" i="1"/>
  <c r="M280" i="1"/>
  <c r="N279" i="1"/>
  <c r="M279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N273" i="1"/>
  <c r="M273" i="1"/>
  <c r="O272" i="1"/>
  <c r="N272" i="1"/>
  <c r="M272" i="1"/>
  <c r="O271" i="1"/>
  <c r="N271" i="1"/>
  <c r="M271" i="1"/>
  <c r="N270" i="1"/>
  <c r="M270" i="1"/>
  <c r="O269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O263" i="1"/>
  <c r="N263" i="1"/>
  <c r="M263" i="1"/>
  <c r="N262" i="1"/>
  <c r="M262" i="1"/>
  <c r="N261" i="1"/>
  <c r="M261" i="1"/>
  <c r="O260" i="1"/>
  <c r="N260" i="1"/>
  <c r="M260" i="1"/>
  <c r="N259" i="1"/>
  <c r="M259" i="1"/>
  <c r="N258" i="1"/>
  <c r="M258" i="1"/>
  <c r="O257" i="1"/>
  <c r="N257" i="1"/>
  <c r="M257" i="1"/>
  <c r="N256" i="1"/>
  <c r="M256" i="1"/>
  <c r="N255" i="1"/>
  <c r="M255" i="1"/>
  <c r="N254" i="1"/>
  <c r="M254" i="1"/>
  <c r="N253" i="1"/>
  <c r="M253" i="1"/>
  <c r="O252" i="1"/>
  <c r="N252" i="1"/>
  <c r="M252" i="1"/>
  <c r="N251" i="1"/>
  <c r="M251" i="1"/>
  <c r="N250" i="1"/>
  <c r="M250" i="1"/>
  <c r="O249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O243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O236" i="1"/>
  <c r="N236" i="1"/>
  <c r="M236" i="1"/>
  <c r="O235" i="1"/>
  <c r="N235" i="1"/>
  <c r="M235" i="1"/>
  <c r="O234" i="1"/>
  <c r="N234" i="1"/>
  <c r="M234" i="1"/>
  <c r="N233" i="1"/>
  <c r="M233" i="1"/>
  <c r="O232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N213" i="1"/>
  <c r="M213" i="1"/>
  <c r="O212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O205" i="1"/>
  <c r="N205" i="1"/>
  <c r="M205" i="1"/>
  <c r="N204" i="1"/>
  <c r="M204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N198" i="1"/>
  <c r="M198" i="1"/>
  <c r="O197" i="1"/>
  <c r="N197" i="1"/>
  <c r="M197" i="1"/>
  <c r="O196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O175" i="1"/>
  <c r="N175" i="1"/>
  <c r="M175" i="1"/>
  <c r="O174" i="1"/>
  <c r="N174" i="1"/>
  <c r="M174" i="1"/>
  <c r="O173" i="1"/>
  <c r="N173" i="1"/>
  <c r="M173" i="1"/>
  <c r="N172" i="1"/>
  <c r="M172" i="1"/>
  <c r="O171" i="1"/>
  <c r="N171" i="1"/>
  <c r="M171" i="1"/>
  <c r="O170" i="1"/>
  <c r="N170" i="1"/>
  <c r="M170" i="1"/>
  <c r="O169" i="1"/>
  <c r="N169" i="1"/>
  <c r="M169" i="1"/>
  <c r="N168" i="1"/>
  <c r="M168" i="1"/>
  <c r="O167" i="1"/>
  <c r="N167" i="1"/>
  <c r="M167" i="1"/>
  <c r="O166" i="1"/>
  <c r="N166" i="1"/>
  <c r="M166" i="1"/>
  <c r="N165" i="1"/>
  <c r="M165" i="1"/>
  <c r="O164" i="1"/>
  <c r="N164" i="1"/>
  <c r="M164" i="1"/>
  <c r="O163" i="1"/>
  <c r="N163" i="1"/>
  <c r="M163" i="1"/>
  <c r="N162" i="1"/>
  <c r="M162" i="1"/>
  <c r="N161" i="1"/>
  <c r="M161" i="1"/>
  <c r="N160" i="1"/>
  <c r="M160" i="1"/>
  <c r="N159" i="1"/>
  <c r="M159" i="1"/>
  <c r="O158" i="1"/>
  <c r="N158" i="1"/>
  <c r="M158" i="1"/>
  <c r="O157" i="1"/>
  <c r="N157" i="1"/>
  <c r="M157" i="1"/>
  <c r="N156" i="1"/>
  <c r="M156" i="1"/>
  <c r="N155" i="1"/>
  <c r="M155" i="1"/>
  <c r="O154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O144" i="1"/>
  <c r="N144" i="1"/>
  <c r="M144" i="1"/>
  <c r="N143" i="1"/>
  <c r="M143" i="1"/>
  <c r="O142" i="1"/>
  <c r="N142" i="1"/>
  <c r="M142" i="1"/>
  <c r="N141" i="1"/>
  <c r="M141" i="1"/>
  <c r="N140" i="1"/>
  <c r="M140" i="1"/>
  <c r="N139" i="1"/>
  <c r="M139" i="1"/>
  <c r="N138" i="1"/>
  <c r="M138" i="1"/>
  <c r="O137" i="1"/>
  <c r="N137" i="1"/>
  <c r="M137" i="1"/>
  <c r="N136" i="1"/>
  <c r="M136" i="1"/>
  <c r="O135" i="1"/>
  <c r="N135" i="1"/>
  <c r="M135" i="1"/>
  <c r="N134" i="1"/>
  <c r="M134" i="1"/>
  <c r="O133" i="1"/>
  <c r="N133" i="1"/>
  <c r="M133" i="1"/>
  <c r="O132" i="1"/>
  <c r="N132" i="1"/>
  <c r="M132" i="1"/>
  <c r="N131" i="1"/>
  <c r="M131" i="1"/>
  <c r="N130" i="1"/>
  <c r="M130" i="1"/>
  <c r="N129" i="1"/>
  <c r="M129" i="1"/>
  <c r="O128" i="1"/>
  <c r="N128" i="1"/>
  <c r="M128" i="1"/>
  <c r="O127" i="1"/>
  <c r="N127" i="1"/>
  <c r="M127" i="1"/>
  <c r="N126" i="1"/>
  <c r="M126" i="1"/>
  <c r="N125" i="1"/>
  <c r="M125" i="1"/>
  <c r="O124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O115" i="1"/>
  <c r="N115" i="1"/>
  <c r="M115" i="1"/>
  <c r="O114" i="1"/>
  <c r="N114" i="1"/>
  <c r="M114" i="1"/>
  <c r="O113" i="1"/>
  <c r="N113" i="1"/>
  <c r="M113" i="1"/>
  <c r="N112" i="1"/>
  <c r="M112" i="1"/>
  <c r="O111" i="1"/>
  <c r="N111" i="1"/>
  <c r="M111" i="1"/>
  <c r="O110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O104" i="1"/>
  <c r="N104" i="1"/>
  <c r="M104" i="1"/>
  <c r="O103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O96" i="1"/>
  <c r="N96" i="1"/>
  <c r="M96" i="1"/>
  <c r="O95" i="1"/>
  <c r="N95" i="1"/>
  <c r="M95" i="1"/>
  <c r="N94" i="1"/>
  <c r="M94" i="1"/>
  <c r="O93" i="1"/>
  <c r="N93" i="1"/>
  <c r="M93" i="1"/>
  <c r="N92" i="1"/>
  <c r="M92" i="1"/>
  <c r="N91" i="1"/>
  <c r="M91" i="1"/>
  <c r="O90" i="1"/>
  <c r="N90" i="1"/>
  <c r="M90" i="1"/>
  <c r="O89" i="1"/>
  <c r="N89" i="1"/>
  <c r="M89" i="1"/>
  <c r="O88" i="1"/>
  <c r="N88" i="1"/>
  <c r="M88" i="1"/>
  <c r="N87" i="1"/>
  <c r="M87" i="1"/>
  <c r="O86" i="1"/>
  <c r="N86" i="1"/>
  <c r="M86" i="1"/>
  <c r="O85" i="1"/>
  <c r="N85" i="1"/>
  <c r="M85" i="1"/>
  <c r="N84" i="1"/>
  <c r="M84" i="1"/>
  <c r="O83" i="1"/>
  <c r="N83" i="1"/>
  <c r="M83" i="1"/>
  <c r="O82" i="1"/>
  <c r="N82" i="1"/>
  <c r="M82" i="1"/>
  <c r="O81" i="1"/>
  <c r="N81" i="1"/>
  <c r="M81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O62" i="1"/>
  <c r="N62" i="1"/>
  <c r="M62" i="1"/>
  <c r="N61" i="1"/>
  <c r="M61" i="1"/>
  <c r="N60" i="1"/>
  <c r="M60" i="1"/>
  <c r="N59" i="1"/>
  <c r="M59" i="1"/>
  <c r="O58" i="1"/>
  <c r="N58" i="1"/>
  <c r="M58" i="1"/>
  <c r="N57" i="1"/>
  <c r="M57" i="1"/>
  <c r="N56" i="1"/>
  <c r="M56" i="1"/>
  <c r="O55" i="1"/>
  <c r="N55" i="1"/>
  <c r="M55" i="1"/>
  <c r="N54" i="1"/>
  <c r="M54" i="1"/>
  <c r="O53" i="1"/>
  <c r="N53" i="1"/>
  <c r="M53" i="1"/>
  <c r="O52" i="1"/>
  <c r="N52" i="1"/>
  <c r="M52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N46" i="1"/>
  <c r="M46" i="1"/>
  <c r="O45" i="1"/>
  <c r="N45" i="1"/>
  <c r="M45" i="1"/>
  <c r="O44" i="1"/>
  <c r="N44" i="1"/>
  <c r="M44" i="1"/>
  <c r="N43" i="1"/>
  <c r="M43" i="1"/>
  <c r="O42" i="1"/>
  <c r="N42" i="1"/>
  <c r="M42" i="1"/>
  <c r="O41" i="1"/>
  <c r="N41" i="1"/>
  <c r="M41" i="1"/>
  <c r="N40" i="1"/>
  <c r="M40" i="1"/>
  <c r="N39" i="1"/>
  <c r="M39" i="1"/>
  <c r="N38" i="1"/>
  <c r="M38" i="1"/>
  <c r="N37" i="1"/>
  <c r="M37" i="1"/>
  <c r="O36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O21" i="1"/>
  <c r="N21" i="1"/>
  <c r="M21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O3" i="1"/>
  <c r="N3" i="1"/>
  <c r="M3" i="1"/>
  <c r="N2" i="1"/>
  <c r="M2" i="1"/>
</calcChain>
</file>

<file path=xl/sharedStrings.xml><?xml version="1.0" encoding="utf-8"?>
<sst xmlns="http://schemas.openxmlformats.org/spreadsheetml/2006/main" count="14865" uniqueCount="3422">
  <si>
    <t>Jour</t>
  </si>
  <si>
    <t>Date</t>
  </si>
  <si>
    <t>Semaine</t>
  </si>
  <si>
    <t>Ancien Testament</t>
  </si>
  <si>
    <t>Nouveau Testament</t>
  </si>
  <si>
    <t>Type lecture NT</t>
  </si>
  <si>
    <t>Passage miroir conseillé</t>
  </si>
  <si>
    <t>Thème commun</t>
  </si>
  <si>
    <t>Nature du lien</t>
  </si>
  <si>
    <t>Lien théologique</t>
  </si>
  <si>
    <t>Suivi</t>
  </si>
  <si>
    <t>Notes personnelles</t>
  </si>
  <si>
    <t>Audio AT (S21)</t>
  </si>
  <si>
    <t>Audio NT (S21)</t>
  </si>
  <si>
    <t>Audio miroir (S21)</t>
  </si>
  <si>
    <t>01/01</t>
  </si>
  <si>
    <t>Genèse 1–2</t>
  </si>
  <si>
    <t>Jean 1.1-5</t>
  </si>
  <si>
    <t>Écho thématique</t>
  </si>
  <si>
    <t>—</t>
  </si>
  <si>
    <t>Création et nouvelle création</t>
  </si>
  <si>
    <t>Création / accomplissement eschatologique</t>
  </si>
  <si>
    <t>Le texte de l'AT contemple l'œuvre créatrice de Dieu ; le NT la relit à la lumière du Christ et de la nouvelle création.</t>
  </si>
  <si>
    <t>À lire</t>
  </si>
  <si>
    <t>02/01</t>
  </si>
  <si>
    <t>Genèse 3–5</t>
  </si>
  <si>
    <t>Romains 5</t>
  </si>
  <si>
    <t>Lecture NT intégrale</t>
  </si>
  <si>
    <t>Éphésiens 2.4-10</t>
  </si>
  <si>
    <t>Grâce et pardon</t>
  </si>
  <si>
    <t>La miséricorde de Dieu dans l'AT s'épanouit dans la grâce manifestée en Jésus-Christ.</t>
  </si>
  <si>
    <t>03/01</t>
  </si>
  <si>
    <t>Genèse 6–7</t>
  </si>
  <si>
    <t>Hébreux 8.6-13</t>
  </si>
  <si>
    <t>Alliance et promesses</t>
  </si>
  <si>
    <t>L'alliance de l'AT prépare et éclaire l'accomplissement des promesses en Christ.</t>
  </si>
  <si>
    <t>04/01</t>
  </si>
  <si>
    <t>Genèse 8–10</t>
  </si>
  <si>
    <t>Actes 15</t>
  </si>
  <si>
    <t>Nations et universalité du salut</t>
  </si>
  <si>
    <t>Déploiement du dessein de Dieu</t>
  </si>
  <si>
    <t>Ce que l'AT annonce concernant les nations trouve son développement dans l'universalité de l'Évangile.</t>
  </si>
  <si>
    <t>05/01</t>
  </si>
  <si>
    <t>Genèse 11–12</t>
  </si>
  <si>
    <t>Actes 13</t>
  </si>
  <si>
    <t>06/01</t>
  </si>
  <si>
    <t>Genèse 13–15</t>
  </si>
  <si>
    <t>Matthieu 15</t>
  </si>
  <si>
    <t>07/01</t>
  </si>
  <si>
    <t>Genèse 16–17</t>
  </si>
  <si>
    <t>Matthieu 14</t>
  </si>
  <si>
    <t>08/01</t>
  </si>
  <si>
    <t>Genèse 18–20</t>
  </si>
  <si>
    <t>09/01</t>
  </si>
  <si>
    <t>Genèse 21–22</t>
  </si>
  <si>
    <t>Hébreux 10.10-14</t>
  </si>
  <si>
    <t>Sacrifice et expiation</t>
  </si>
  <si>
    <t>Typologie / accomplissement</t>
  </si>
  <si>
    <t>Le sacrifice de l'AT fonctionne comme une ombre qui éclaire l'offrande parfaite du Christ.</t>
  </si>
  <si>
    <t>10/01</t>
  </si>
  <si>
    <t>Genèse 23–25</t>
  </si>
  <si>
    <t>11/01</t>
  </si>
  <si>
    <t>Genèse 26–27</t>
  </si>
  <si>
    <t>12/01</t>
  </si>
  <si>
    <t>Genèse 28–30</t>
  </si>
  <si>
    <t>Galates 4</t>
  </si>
  <si>
    <t>13/01</t>
  </si>
  <si>
    <t>Genèse 31–33</t>
  </si>
  <si>
    <t>Matthieu 20</t>
  </si>
  <si>
    <t>14/01</t>
  </si>
  <si>
    <t>Genèse 34–35</t>
  </si>
  <si>
    <t>Matthieu 19</t>
  </si>
  <si>
    <t>15/01</t>
  </si>
  <si>
    <t>Genèse 36–38</t>
  </si>
  <si>
    <t>Actes 26</t>
  </si>
  <si>
    <t>16/01</t>
  </si>
  <si>
    <t>Genèse 39–40</t>
  </si>
  <si>
    <t>Actes 24</t>
  </si>
  <si>
    <t>1 Pierre 2.21-24</t>
  </si>
  <si>
    <t>Souffrance et persévérance</t>
  </si>
  <si>
    <t>La souffrance du juste dans l'AT s'éclaire par celle du Christ et l'espérance donnée aux croyants.</t>
  </si>
  <si>
    <t>17/01</t>
  </si>
  <si>
    <t>Genèse 41–43</t>
  </si>
  <si>
    <t>Actes 23</t>
  </si>
  <si>
    <t>18/01</t>
  </si>
  <si>
    <t>Genèse 44–45</t>
  </si>
  <si>
    <t>Philémon 1</t>
  </si>
  <si>
    <t>Éphésiens 4.31-32</t>
  </si>
  <si>
    <t>Pardon</t>
  </si>
  <si>
    <t>Continuité théologique et pratique</t>
  </si>
  <si>
    <t>Le pardon recherché dans l'AT s'enracine dans le pardon reçu en Christ.</t>
  </si>
  <si>
    <t>19/01</t>
  </si>
  <si>
    <t>Genèse 46–48</t>
  </si>
  <si>
    <t>Actes 16</t>
  </si>
  <si>
    <t>20/01</t>
  </si>
  <si>
    <t>Genèse 49–50</t>
  </si>
  <si>
    <t>Actes 14</t>
  </si>
  <si>
    <t>Éphésiens 3.4-6</t>
  </si>
  <si>
    <t>21/01</t>
  </si>
  <si>
    <t>Exode 1–3</t>
  </si>
  <si>
    <t>1 Corinthiens 10.1-4</t>
  </si>
  <si>
    <t>Exode, salut et libération</t>
  </si>
  <si>
    <t>La sortie de l'esclavage devient une figure du salut et de la vie nouvelle en Christ.</t>
  </si>
  <si>
    <t>22/01</t>
  </si>
  <si>
    <t>Exode 4–5</t>
  </si>
  <si>
    <t>1 Corinthiens 10</t>
  </si>
  <si>
    <t>23/01</t>
  </si>
  <si>
    <t>Exode 6–8</t>
  </si>
  <si>
    <t>1 Corinthiens 9</t>
  </si>
  <si>
    <t>24/01</t>
  </si>
  <si>
    <t>Exode 9–11</t>
  </si>
  <si>
    <t>1 Corinthiens 8</t>
  </si>
  <si>
    <t>25/01</t>
  </si>
  <si>
    <t>Exode 12–13</t>
  </si>
  <si>
    <t>Marc 14</t>
  </si>
  <si>
    <t>26/01</t>
  </si>
  <si>
    <t>Exode 14–16</t>
  </si>
  <si>
    <t>Jean 6</t>
  </si>
  <si>
    <t>27/01</t>
  </si>
  <si>
    <t>Exode 17–18</t>
  </si>
  <si>
    <t>Hébreux 3.7-19</t>
  </si>
  <si>
    <t>Désert, épreuve et persévérance</t>
  </si>
  <si>
    <t>Avertissement / contraste</t>
  </si>
  <si>
    <t>L'expérience du désert avertit contre l'incrédulité et appelle à persévérer dans la foi.</t>
  </si>
  <si>
    <t>28/01</t>
  </si>
  <si>
    <t>Exode 19–21</t>
  </si>
  <si>
    <t>29/01</t>
  </si>
  <si>
    <t>Exode 22–23</t>
  </si>
  <si>
    <t>30/01</t>
  </si>
  <si>
    <t>Exode 24–26</t>
  </si>
  <si>
    <t>Hébreux 7.23-28</t>
  </si>
  <si>
    <t>Prêtrise et médiation</t>
  </si>
  <si>
    <t>La médiation sacerdotale de l'AT conduit au grand-prêtre parfait qu'est Jésus.</t>
  </si>
  <si>
    <t>31/01</t>
  </si>
  <si>
    <t>Exode 27–28</t>
  </si>
  <si>
    <t>01/02</t>
  </si>
  <si>
    <t>Exode 29–31</t>
  </si>
  <si>
    <t>02/02</t>
  </si>
  <si>
    <t>Exode 32–33</t>
  </si>
  <si>
    <t>Romains 10</t>
  </si>
  <si>
    <t>03/02</t>
  </si>
  <si>
    <t>Exode 34–36</t>
  </si>
  <si>
    <t>Romains 9</t>
  </si>
  <si>
    <t>04/02</t>
  </si>
  <si>
    <t>Exode 37–39</t>
  </si>
  <si>
    <t>Galates 6</t>
  </si>
  <si>
    <t>Hébreux 9.1-12</t>
  </si>
  <si>
    <t>Tabernacle et demeure de Dieu</t>
  </si>
  <si>
    <t>Le sanctuaire terrestre annonce l'accès véritable à Dieu ouvert par Christ.</t>
  </si>
  <si>
    <t>05/02</t>
  </si>
  <si>
    <t>Exode 40 ; Lévitique 1</t>
  </si>
  <si>
    <t>Hébreux 10</t>
  </si>
  <si>
    <t>06/02</t>
  </si>
  <si>
    <t>Lévitique 2–4</t>
  </si>
  <si>
    <t>07/02</t>
  </si>
  <si>
    <t>Lévitique 5–6</t>
  </si>
  <si>
    <t>08/02</t>
  </si>
  <si>
    <t>Lévitique 7–9</t>
  </si>
  <si>
    <t>Hébreux 9</t>
  </si>
  <si>
    <t>09/02</t>
  </si>
  <si>
    <t>Lévitique 10–11</t>
  </si>
  <si>
    <t>Matthieu 23</t>
  </si>
  <si>
    <t>10/02</t>
  </si>
  <si>
    <t>Lévitique 12–14</t>
  </si>
  <si>
    <t>1 Corinthiens 7</t>
  </si>
  <si>
    <t>1 Pierre 1.15-16</t>
  </si>
  <si>
    <t>Sainteté</t>
  </si>
  <si>
    <t>L'appel d'Israël à être saint se prolonge pour le peuple de Dieu dans le NT.</t>
  </si>
  <si>
    <t>11/02</t>
  </si>
  <si>
    <t>Lévitique 15–16</t>
  </si>
  <si>
    <t>Hébreux 8</t>
  </si>
  <si>
    <t>12/02</t>
  </si>
  <si>
    <t>Lévitique 17–19</t>
  </si>
  <si>
    <t>Jacques 2</t>
  </si>
  <si>
    <t>13/02</t>
  </si>
  <si>
    <t>Lévitique 20–21</t>
  </si>
  <si>
    <t>Colossiens 3</t>
  </si>
  <si>
    <t>14/02</t>
  </si>
  <si>
    <t>Lévitique 22–24</t>
  </si>
  <si>
    <t>Matthieu 27</t>
  </si>
  <si>
    <t>15/02</t>
  </si>
  <si>
    <t>Lévitique 25–27</t>
  </si>
  <si>
    <t>Luc 23</t>
  </si>
  <si>
    <t>1 Corinthiens 5.7-8</t>
  </si>
  <si>
    <t>Pâque et délivrance</t>
  </si>
  <si>
    <t>La délivrance pascale de l'AT annonce le salut accompli par le Christ, notre Pâque.</t>
  </si>
  <si>
    <t>16/02</t>
  </si>
  <si>
    <t>Nombres 1–2</t>
  </si>
  <si>
    <t>1 Corinthiens 6</t>
  </si>
  <si>
    <t>17/02</t>
  </si>
  <si>
    <t>Nombres 3–5</t>
  </si>
  <si>
    <t>1 Corinthiens 5</t>
  </si>
  <si>
    <t>18/02</t>
  </si>
  <si>
    <t>Nombres 6–7</t>
  </si>
  <si>
    <t>Actes 5</t>
  </si>
  <si>
    <t>19/02</t>
  </si>
  <si>
    <t>Nombres 8–10</t>
  </si>
  <si>
    <t>20/02</t>
  </si>
  <si>
    <t>Nombres 11–12</t>
  </si>
  <si>
    <t>Matthieu 24</t>
  </si>
  <si>
    <t>21/02</t>
  </si>
  <si>
    <t>Nombres 13–15</t>
  </si>
  <si>
    <t>Matthieu 25</t>
  </si>
  <si>
    <t>22/02</t>
  </si>
  <si>
    <t>Nombres 16–17</t>
  </si>
  <si>
    <t>23/02</t>
  </si>
  <si>
    <t>Nombres 18–20</t>
  </si>
  <si>
    <t>Marc 4</t>
  </si>
  <si>
    <t>24/02</t>
  </si>
  <si>
    <t>Nombres 21–22</t>
  </si>
  <si>
    <t>Marc 6</t>
  </si>
  <si>
    <t>Messie et accomplissement</t>
  </si>
  <si>
    <t>Promesse / accomplissement</t>
  </si>
  <si>
    <t>La figure ou la promesse messianique de l'AT converge vers Jésus.</t>
  </si>
  <si>
    <t>25/02</t>
  </si>
  <si>
    <t>Nombres 23–25</t>
  </si>
  <si>
    <t>Matthieu 1</t>
  </si>
  <si>
    <t>26/02</t>
  </si>
  <si>
    <t>Nombres 26–28</t>
  </si>
  <si>
    <t>1 Timothée 3</t>
  </si>
  <si>
    <t>27/02</t>
  </si>
  <si>
    <t>Nombres 29–30</t>
  </si>
  <si>
    <t>Hébreux 12</t>
  </si>
  <si>
    <t>28/02</t>
  </si>
  <si>
    <t>Nombres 31–33</t>
  </si>
  <si>
    <t>Romains 2</t>
  </si>
  <si>
    <t>Justice et droiture</t>
  </si>
  <si>
    <t>L'exigence de justice dans l'AT demeure et est approfondie par l'Évangile.</t>
  </si>
  <si>
    <t>01/03</t>
  </si>
  <si>
    <t>Nombres 34–35</t>
  </si>
  <si>
    <t>Romains 1</t>
  </si>
  <si>
    <t>02/03</t>
  </si>
  <si>
    <t>Nombres 36 ; Deutéronome 1–2</t>
  </si>
  <si>
    <t>Marc 16</t>
  </si>
  <si>
    <t>Hébreux 4.1-11</t>
  </si>
  <si>
    <t>Repos et héritage</t>
  </si>
  <si>
    <t>L'entrée dans le repos promis pointe vers le repos plus profond offert en Christ.</t>
  </si>
  <si>
    <t>03/03</t>
  </si>
  <si>
    <t>Deutéronome 3–4</t>
  </si>
  <si>
    <t>Matthieu 3</t>
  </si>
  <si>
    <t>04/03</t>
  </si>
  <si>
    <t>Deutéronome 5–7</t>
  </si>
  <si>
    <t>Matthieu 6</t>
  </si>
  <si>
    <t>Loi, obéissance et cœur</t>
  </si>
  <si>
    <t>La Loi révèle la volonté de Dieu ; le NT montre son accomplissement en Christ et son inscription dans une vie renouvelée.</t>
  </si>
  <si>
    <t>05/03</t>
  </si>
  <si>
    <t>Deutéronome 8–9</t>
  </si>
  <si>
    <t>Matthieu 7</t>
  </si>
  <si>
    <t>06/03</t>
  </si>
  <si>
    <t>Deutéronome 10–12</t>
  </si>
  <si>
    <t>Matthieu 5</t>
  </si>
  <si>
    <t>07/03</t>
  </si>
  <si>
    <t>Deutéronome 13–14</t>
  </si>
  <si>
    <t>Luc 1.32-33</t>
  </si>
  <si>
    <t>Roi et royauté</t>
  </si>
  <si>
    <t>La royauté de l'AT prépare le règne du Fils de David, Jésus-Christ.</t>
  </si>
  <si>
    <t>08/03</t>
  </si>
  <si>
    <t>Deutéronome 15–17</t>
  </si>
  <si>
    <t>Apocalypse 18</t>
  </si>
  <si>
    <t>09/03</t>
  </si>
  <si>
    <t>Deutéronome 18–20</t>
  </si>
  <si>
    <t>Romains 12</t>
  </si>
  <si>
    <t>Adoration</t>
  </si>
  <si>
    <t>Le culte de l'AT prépare l'adoration accomplie en esprit et en vérité.</t>
  </si>
  <si>
    <t>10/03</t>
  </si>
  <si>
    <t>Deutéronome 21–22</t>
  </si>
  <si>
    <t>1 Thessaloniciens 4</t>
  </si>
  <si>
    <t>Jacques 2.1-9</t>
  </si>
  <si>
    <t>11/03</t>
  </si>
  <si>
    <t>Deutéronome 23–25</t>
  </si>
  <si>
    <t>1 Thessaloniciens 3</t>
  </si>
  <si>
    <t>12/03</t>
  </si>
  <si>
    <t>Deutéronome 26–27</t>
  </si>
  <si>
    <t>Galates 5</t>
  </si>
  <si>
    <t>13/03</t>
  </si>
  <si>
    <t>Deutéronome 28–30</t>
  </si>
  <si>
    <t>Luc 11</t>
  </si>
  <si>
    <t>14/03</t>
  </si>
  <si>
    <t>Deutéronome 31–32</t>
  </si>
  <si>
    <t>Luc 10</t>
  </si>
  <si>
    <t>1 Pierre 1.3-5</t>
  </si>
  <si>
    <t>Espérance</t>
  </si>
  <si>
    <t>L'espérance de l'AT reçoit dans le NT un fondement décisif dans la résurrection et les promesses du Christ.</t>
  </si>
  <si>
    <t>15/03</t>
  </si>
  <si>
    <t>Deutéronome 33–34 ; Josué 1</t>
  </si>
  <si>
    <t>Galates 3</t>
  </si>
  <si>
    <t>16/03</t>
  </si>
  <si>
    <t>Josué 2–3</t>
  </si>
  <si>
    <t>Luc 6</t>
  </si>
  <si>
    <t>17/03</t>
  </si>
  <si>
    <t>Josué 4–6</t>
  </si>
  <si>
    <t>Luc 7</t>
  </si>
  <si>
    <t>18/03</t>
  </si>
  <si>
    <t>Josué 7–8</t>
  </si>
  <si>
    <t>Luc 8</t>
  </si>
  <si>
    <t>Hébreux 11.1-6</t>
  </si>
  <si>
    <t>Foi et confiance</t>
  </si>
  <si>
    <t>La confiance en Dieu manifestée dans l'AT rejoint la vie par la foi développée dans le NT.</t>
  </si>
  <si>
    <t>19/03</t>
  </si>
  <si>
    <t>Josué 9–11</t>
  </si>
  <si>
    <t>Luc 9</t>
  </si>
  <si>
    <t>20/03</t>
  </si>
  <si>
    <t>Josué 12–14</t>
  </si>
  <si>
    <t>Hébreux 3</t>
  </si>
  <si>
    <t>21/03</t>
  </si>
  <si>
    <t>Josué 15–16</t>
  </si>
  <si>
    <t>Luc 13</t>
  </si>
  <si>
    <t>22/03</t>
  </si>
  <si>
    <t>Josué 17–19</t>
  </si>
  <si>
    <t>Luc 14</t>
  </si>
  <si>
    <t>23/03</t>
  </si>
  <si>
    <t>Josué 20–21</t>
  </si>
  <si>
    <t>Matthieu 18</t>
  </si>
  <si>
    <t>24/03</t>
  </si>
  <si>
    <t>Josué 22–24</t>
  </si>
  <si>
    <t>Romains 4</t>
  </si>
  <si>
    <t>25/03</t>
  </si>
  <si>
    <t>Juges 1–2</t>
  </si>
  <si>
    <t>Marc 9</t>
  </si>
  <si>
    <t>26/03</t>
  </si>
  <si>
    <t>Juges 3–5</t>
  </si>
  <si>
    <t>Marc 10</t>
  </si>
  <si>
    <t>27/03</t>
  </si>
  <si>
    <t>Juges 6–7</t>
  </si>
  <si>
    <t>28/03</t>
  </si>
  <si>
    <t>Juges 8–10</t>
  </si>
  <si>
    <t>2 Corinthiens 12</t>
  </si>
  <si>
    <t>29/03</t>
  </si>
  <si>
    <t>Juges 11–12</t>
  </si>
  <si>
    <t>2 Corinthiens 11</t>
  </si>
  <si>
    <t>30/03</t>
  </si>
  <si>
    <t>Juges 13–15</t>
  </si>
  <si>
    <t>2 Corinthiens 10</t>
  </si>
  <si>
    <t>31/03</t>
  </si>
  <si>
    <t>Juges 16–18</t>
  </si>
  <si>
    <t>Marc 11</t>
  </si>
  <si>
    <t>01/04</t>
  </si>
  <si>
    <t>Juges 19–20</t>
  </si>
  <si>
    <t>Marc 12</t>
  </si>
  <si>
    <t>02/04</t>
  </si>
  <si>
    <t>Juges 21 ; Ruth 1–2</t>
  </si>
  <si>
    <t>Marc 8</t>
  </si>
  <si>
    <t>Luc 24.25-27</t>
  </si>
  <si>
    <t>03/04</t>
  </si>
  <si>
    <t>Ruth 3–4</t>
  </si>
  <si>
    <t>1 Jean 4</t>
  </si>
  <si>
    <t>04/04</t>
  </si>
  <si>
    <t>1 Samuel 1–3</t>
  </si>
  <si>
    <t>2 Corinthiens 7</t>
  </si>
  <si>
    <t>05/04</t>
  </si>
  <si>
    <t>1 Samuel 4–5</t>
  </si>
  <si>
    <t>2 Corinthiens 6</t>
  </si>
  <si>
    <t>06/04</t>
  </si>
  <si>
    <t>1 Samuel 6–8</t>
  </si>
  <si>
    <t>Marc 13</t>
  </si>
  <si>
    <t>07/04</t>
  </si>
  <si>
    <t>1 Samuel 9–10</t>
  </si>
  <si>
    <t>08/04</t>
  </si>
  <si>
    <t>1 Samuel 11–13</t>
  </si>
  <si>
    <t>09/04</t>
  </si>
  <si>
    <t>1 Samuel 14–15</t>
  </si>
  <si>
    <t>10/04</t>
  </si>
  <si>
    <t>1 Samuel 16–18</t>
  </si>
  <si>
    <t>Luc 3</t>
  </si>
  <si>
    <t>11/04</t>
  </si>
  <si>
    <t>1 Samuel 19–21</t>
  </si>
  <si>
    <t>Luc 4</t>
  </si>
  <si>
    <t>12/04</t>
  </si>
  <si>
    <t>1 Samuel 22–23</t>
  </si>
  <si>
    <t>Matthieu 12</t>
  </si>
  <si>
    <t>13/04</t>
  </si>
  <si>
    <t>1 Samuel 24–26</t>
  </si>
  <si>
    <t>Matthieu 10</t>
  </si>
  <si>
    <t>14/04</t>
  </si>
  <si>
    <t>1 Samuel 27–28</t>
  </si>
  <si>
    <t>1 Thessaloniciens 2</t>
  </si>
  <si>
    <t>15/04</t>
  </si>
  <si>
    <t>1 Samuel 29–31</t>
  </si>
  <si>
    <t>1 Thessaloniciens 1</t>
  </si>
  <si>
    <t>16/04</t>
  </si>
  <si>
    <t>2 Samuel 1–2</t>
  </si>
  <si>
    <t>Matthieu 2</t>
  </si>
  <si>
    <t>17/04</t>
  </si>
  <si>
    <t>2 Samuel 3–5</t>
  </si>
  <si>
    <t>Luc 1</t>
  </si>
  <si>
    <t>18/04</t>
  </si>
  <si>
    <t>2 Samuel 6–7</t>
  </si>
  <si>
    <t>Luc 2</t>
  </si>
  <si>
    <t>19/04</t>
  </si>
  <si>
    <t>2 Samuel 8–10</t>
  </si>
  <si>
    <t>2 Corinthiens 8</t>
  </si>
  <si>
    <t>20/04</t>
  </si>
  <si>
    <t>2 Samuel 11–12</t>
  </si>
  <si>
    <t>Romains 7</t>
  </si>
  <si>
    <t>21/04</t>
  </si>
  <si>
    <t>2 Samuel 13–15</t>
  </si>
  <si>
    <t>1 Pierre 4</t>
  </si>
  <si>
    <t>22/04</t>
  </si>
  <si>
    <t>2 Samuel 16–18</t>
  </si>
  <si>
    <t>Actes 7</t>
  </si>
  <si>
    <t>23/04</t>
  </si>
  <si>
    <t>2 Samuel 19–20</t>
  </si>
  <si>
    <t>Actes 6</t>
  </si>
  <si>
    <t>24/04</t>
  </si>
  <si>
    <t>2 Samuel 21–23</t>
  </si>
  <si>
    <t>Luc 22</t>
  </si>
  <si>
    <t>25/04</t>
  </si>
  <si>
    <t>2 Samuel 24 ; 1 Rois 1</t>
  </si>
  <si>
    <t>Marc 15</t>
  </si>
  <si>
    <t>26/04</t>
  </si>
  <si>
    <t>1 Rois 2–4</t>
  </si>
  <si>
    <t>27/04</t>
  </si>
  <si>
    <t>1 Rois 5–6</t>
  </si>
  <si>
    <t>Jean 2</t>
  </si>
  <si>
    <t>Temple et demeure spirituelle</t>
  </si>
  <si>
    <t>Le Temple prépare le thème de la présence divine accomplie en Christ puis dans son peuple.</t>
  </si>
  <si>
    <t>28/04</t>
  </si>
  <si>
    <t>1 Rois 7–9</t>
  </si>
  <si>
    <t>Luc 19</t>
  </si>
  <si>
    <t>29/04</t>
  </si>
  <si>
    <t>1 Rois 10–11</t>
  </si>
  <si>
    <t>30/04</t>
  </si>
  <si>
    <t>1 Rois 12–14</t>
  </si>
  <si>
    <t>2 Pierre 3.7-13</t>
  </si>
  <si>
    <t>Jugement et sainteté de Dieu</t>
  </si>
  <si>
    <t>Les jugements historiques de l'AT annoncent la sainteté de Dieu et le jugement ultime présenté dans le NT.</t>
  </si>
  <si>
    <t>01/05</t>
  </si>
  <si>
    <t>1 Rois 15–16</t>
  </si>
  <si>
    <t>02/05</t>
  </si>
  <si>
    <t>1 Rois 17–19</t>
  </si>
  <si>
    <t>03/05</t>
  </si>
  <si>
    <t>1 Rois 20–22</t>
  </si>
  <si>
    <t>2 Thessaloniciens 2</t>
  </si>
  <si>
    <t>04/05</t>
  </si>
  <si>
    <t>2 Rois 1–2</t>
  </si>
  <si>
    <t>Matthieu 8</t>
  </si>
  <si>
    <t>05/05</t>
  </si>
  <si>
    <t>2 Rois 3–5</t>
  </si>
  <si>
    <t>Matthieu 9</t>
  </si>
  <si>
    <t>06/05</t>
  </si>
  <si>
    <t>2 Rois 6–7</t>
  </si>
  <si>
    <t>Marc 5</t>
  </si>
  <si>
    <t>07/05</t>
  </si>
  <si>
    <t>2 Rois 8–10</t>
  </si>
  <si>
    <t>Luc 5</t>
  </si>
  <si>
    <t>08/05</t>
  </si>
  <si>
    <t>2 Rois 11–12</t>
  </si>
  <si>
    <t>09/05</t>
  </si>
  <si>
    <t>2 Rois 13–15</t>
  </si>
  <si>
    <t>10/05</t>
  </si>
  <si>
    <t>2 Rois 16–17</t>
  </si>
  <si>
    <t>11/05</t>
  </si>
  <si>
    <t>2 Rois 18–20</t>
  </si>
  <si>
    <t>Luc 18</t>
  </si>
  <si>
    <t>12/05</t>
  </si>
  <si>
    <t>2 Rois 21–22</t>
  </si>
  <si>
    <t>Matthieu 13</t>
  </si>
  <si>
    <t>13/05</t>
  </si>
  <si>
    <t>2 Rois 23–25</t>
  </si>
  <si>
    <t>14/05</t>
  </si>
  <si>
    <t>1 Chroniques 1–3</t>
  </si>
  <si>
    <t>1 Corinthiens 16</t>
  </si>
  <si>
    <t>15/05</t>
  </si>
  <si>
    <t>1 Chroniques 4–5</t>
  </si>
  <si>
    <t>Hébreux 11</t>
  </si>
  <si>
    <t>16/05</t>
  </si>
  <si>
    <t>1 Chroniques 6–8</t>
  </si>
  <si>
    <t>1 Thessaloniciens 5</t>
  </si>
  <si>
    <t>17/05</t>
  </si>
  <si>
    <t>1 Chroniques 9–10</t>
  </si>
  <si>
    <t>1 Corinthiens 11</t>
  </si>
  <si>
    <t>18/05</t>
  </si>
  <si>
    <t>1 Chroniques 11–13</t>
  </si>
  <si>
    <t>19/05</t>
  </si>
  <si>
    <t>1 Chroniques 14–15</t>
  </si>
  <si>
    <t>20/05</t>
  </si>
  <si>
    <t>1 Chroniques 16–18</t>
  </si>
  <si>
    <t>Jean 12</t>
  </si>
  <si>
    <t>21/05</t>
  </si>
  <si>
    <t>1 Chroniques 19–20</t>
  </si>
  <si>
    <t>Matthieu 11</t>
  </si>
  <si>
    <t>22/05</t>
  </si>
  <si>
    <t>1 Chroniques 21–23</t>
  </si>
  <si>
    <t>Luc 20</t>
  </si>
  <si>
    <t>23/05</t>
  </si>
  <si>
    <t>1 Chroniques 24–25</t>
  </si>
  <si>
    <t>1 Timothée 5</t>
  </si>
  <si>
    <t>1 Corinthiens 3.16-17</t>
  </si>
  <si>
    <t>24/05</t>
  </si>
  <si>
    <t>1 Chroniques 26–28</t>
  </si>
  <si>
    <t>1 Corinthiens 4</t>
  </si>
  <si>
    <t>25/05</t>
  </si>
  <si>
    <t>1 Chroniques 29 ; 2 Chroniques 1–2</t>
  </si>
  <si>
    <t>1 Corinthiens 3</t>
  </si>
  <si>
    <t>26/05</t>
  </si>
  <si>
    <t>2 Chroniques 3–4</t>
  </si>
  <si>
    <t>27/05</t>
  </si>
  <si>
    <t>2 Chroniques 5–7</t>
  </si>
  <si>
    <t>28/05</t>
  </si>
  <si>
    <t>2 Chroniques 8–9</t>
  </si>
  <si>
    <t>29/05</t>
  </si>
  <si>
    <t>2 Chroniques 10–12</t>
  </si>
  <si>
    <t>30/05</t>
  </si>
  <si>
    <t>2 Chroniques 13–14</t>
  </si>
  <si>
    <t>31/05</t>
  </si>
  <si>
    <t>2 Chroniques 15–17</t>
  </si>
  <si>
    <t>01/06</t>
  </si>
  <si>
    <t>2 Chroniques 18–19</t>
  </si>
  <si>
    <t>02/06</t>
  </si>
  <si>
    <t>2 Chroniques 20–22</t>
  </si>
  <si>
    <t>Actes 20</t>
  </si>
  <si>
    <t>03/06</t>
  </si>
  <si>
    <t>2 Chroniques 23–24</t>
  </si>
  <si>
    <t>04/06</t>
  </si>
  <si>
    <t>2 Chroniques 25–27</t>
  </si>
  <si>
    <t>05/06</t>
  </si>
  <si>
    <t>2 Chroniques 28–30</t>
  </si>
  <si>
    <t>Jean 18</t>
  </si>
  <si>
    <t>06/06</t>
  </si>
  <si>
    <t>2 Chroniques 31–32</t>
  </si>
  <si>
    <t>Jean 19</t>
  </si>
  <si>
    <t>07/06</t>
  </si>
  <si>
    <t>2 Chroniques 33–35</t>
  </si>
  <si>
    <t>Actes 3.19-21</t>
  </si>
  <si>
    <t>Restauration</t>
  </si>
  <si>
    <t>Les promesses de restauration de l'AT annoncent l'œuvre de renouvellement accomplie par Dieu en Christ.</t>
  </si>
  <si>
    <t>08/06</t>
  </si>
  <si>
    <t>2 Chroniques 36 ; Esdras 1</t>
  </si>
  <si>
    <t>Matthieu 21</t>
  </si>
  <si>
    <t>09/06</t>
  </si>
  <si>
    <t>Esdras 2–4</t>
  </si>
  <si>
    <t>10/06</t>
  </si>
  <si>
    <t>Esdras 5–6</t>
  </si>
  <si>
    <t>11/06</t>
  </si>
  <si>
    <t>Esdras 7–9</t>
  </si>
  <si>
    <t>2 Pierre 1</t>
  </si>
  <si>
    <t>12/06</t>
  </si>
  <si>
    <t>Esdras 10 ; Néhémie 1</t>
  </si>
  <si>
    <t>Éphésiens 4</t>
  </si>
  <si>
    <t>13/06</t>
  </si>
  <si>
    <t>Néhémie 2–4</t>
  </si>
  <si>
    <t>14/06</t>
  </si>
  <si>
    <t>Néhémie 5–6</t>
  </si>
  <si>
    <t>Tite 1</t>
  </si>
  <si>
    <t>15/06</t>
  </si>
  <si>
    <t>Néhémie 7–9</t>
  </si>
  <si>
    <t>1 Timothée 4</t>
  </si>
  <si>
    <t>16/06</t>
  </si>
  <si>
    <t>Néhémie 10–12</t>
  </si>
  <si>
    <t>Colossiens 2</t>
  </si>
  <si>
    <t>17/06</t>
  </si>
  <si>
    <t>Néhémie 13 ; Esther 1</t>
  </si>
  <si>
    <t>1 Jean 3</t>
  </si>
  <si>
    <t>18/06</t>
  </si>
  <si>
    <t>Esther 2–4</t>
  </si>
  <si>
    <t>Actes 11</t>
  </si>
  <si>
    <t>Romains 8.28</t>
  </si>
  <si>
    <t>Providence</t>
  </si>
  <si>
    <t>La conduite cachée de Dieu dans l'AT rejoint l'assurance du NT que son dessein demeure à l'œuvre.</t>
  </si>
  <si>
    <t>19/06</t>
  </si>
  <si>
    <t>Esther 5–6</t>
  </si>
  <si>
    <t>Actes 12</t>
  </si>
  <si>
    <t>20/06</t>
  </si>
  <si>
    <t>Esther 7–9</t>
  </si>
  <si>
    <t>21/06</t>
  </si>
  <si>
    <t>Esther 10 ; Job 1</t>
  </si>
  <si>
    <t>Actes 22</t>
  </si>
  <si>
    <t>22/06</t>
  </si>
  <si>
    <t>Job 2–4</t>
  </si>
  <si>
    <t>Actes 27</t>
  </si>
  <si>
    <t>23/06</t>
  </si>
  <si>
    <t>Job 5–6</t>
  </si>
  <si>
    <t>Actes 28</t>
  </si>
  <si>
    <t>24/06</t>
  </si>
  <si>
    <t>Job 7–9</t>
  </si>
  <si>
    <t>25/06</t>
  </si>
  <si>
    <t>Job 10–11</t>
  </si>
  <si>
    <t>26/06</t>
  </si>
  <si>
    <t>Job 12–14</t>
  </si>
  <si>
    <t>27/06</t>
  </si>
  <si>
    <t>Job 15–17</t>
  </si>
  <si>
    <t>Luc 16</t>
  </si>
  <si>
    <t>28/06</t>
  </si>
  <si>
    <t>Job 18–19</t>
  </si>
  <si>
    <t>Luc 17</t>
  </si>
  <si>
    <t>29/06</t>
  </si>
  <si>
    <t>Job 20–22</t>
  </si>
  <si>
    <t>Philippiens 3</t>
  </si>
  <si>
    <t>30/06</t>
  </si>
  <si>
    <t>Job 23–24</t>
  </si>
  <si>
    <t>2 Corinthiens 2</t>
  </si>
  <si>
    <t>01/07</t>
  </si>
  <si>
    <t>Job 25–27</t>
  </si>
  <si>
    <t>2 Corinthiens 1</t>
  </si>
  <si>
    <t>02/07</t>
  </si>
  <si>
    <t>Job 28–29</t>
  </si>
  <si>
    <t>2 Timothée 2</t>
  </si>
  <si>
    <t>03/07</t>
  </si>
  <si>
    <t>Job 30–32</t>
  </si>
  <si>
    <t>1 Pierre 5</t>
  </si>
  <si>
    <t>04/07</t>
  </si>
  <si>
    <t>Job 33–34</t>
  </si>
  <si>
    <t>1 Corinthiens 2</t>
  </si>
  <si>
    <t>1 Corinthiens 1.24-30</t>
  </si>
  <si>
    <t>Sagesse</t>
  </si>
  <si>
    <t>La sagesse recherchée dans l'AT trouve en Christ sa plénitude et devient conduite concrète.</t>
  </si>
  <si>
    <t>05/07</t>
  </si>
  <si>
    <t>Job 35–37</t>
  </si>
  <si>
    <t>1 Corinthiens 1</t>
  </si>
  <si>
    <t>06/07</t>
  </si>
  <si>
    <t>Job 38–39</t>
  </si>
  <si>
    <t>Romains 8</t>
  </si>
  <si>
    <t>07/07</t>
  </si>
  <si>
    <t>Job 40–42</t>
  </si>
  <si>
    <t>Luc 12</t>
  </si>
  <si>
    <t>08/07</t>
  </si>
  <si>
    <t>Psaumes 1–3</t>
  </si>
  <si>
    <t>Marc 7</t>
  </si>
  <si>
    <t>09/07</t>
  </si>
  <si>
    <t>Psaumes 4–5</t>
  </si>
  <si>
    <t>10/07</t>
  </si>
  <si>
    <t>Psaumes 6–8</t>
  </si>
  <si>
    <t>11/07</t>
  </si>
  <si>
    <t>Psaumes 9–10</t>
  </si>
  <si>
    <t>12/07</t>
  </si>
  <si>
    <t>Psaumes 11–13</t>
  </si>
  <si>
    <t>13/07</t>
  </si>
  <si>
    <t>Psaumes 14–15</t>
  </si>
  <si>
    <t>14/07</t>
  </si>
  <si>
    <t>Psaumes 16–18</t>
  </si>
  <si>
    <t>Philippiens 4</t>
  </si>
  <si>
    <t>15/07</t>
  </si>
  <si>
    <t>Psaumes 19–20</t>
  </si>
  <si>
    <t>2 Corinthiens 5</t>
  </si>
  <si>
    <t>16/07</t>
  </si>
  <si>
    <t>Psaumes 21–23</t>
  </si>
  <si>
    <t>Jean 1</t>
  </si>
  <si>
    <t>17/07</t>
  </si>
  <si>
    <t>Psaumes 24–25</t>
  </si>
  <si>
    <t>Jean 11</t>
  </si>
  <si>
    <t>18/07</t>
  </si>
  <si>
    <t>Psaumes 26–28</t>
  </si>
  <si>
    <t>1 Jean 5</t>
  </si>
  <si>
    <t>19/07</t>
  </si>
  <si>
    <t>Psaumes 29–31</t>
  </si>
  <si>
    <t>1 Timothée 2</t>
  </si>
  <si>
    <t>20/07</t>
  </si>
  <si>
    <t>Psaumes 32–33</t>
  </si>
  <si>
    <t>1 Timothée 1</t>
  </si>
  <si>
    <t>21/07</t>
  </si>
  <si>
    <t>Psaumes 34–36</t>
  </si>
  <si>
    <t>Galates 2</t>
  </si>
  <si>
    <t>22/07</t>
  </si>
  <si>
    <t>Psaumes 37–38</t>
  </si>
  <si>
    <t>Galates 1</t>
  </si>
  <si>
    <t>23/07</t>
  </si>
  <si>
    <t>Psaumes 39–41</t>
  </si>
  <si>
    <t>2 Corinthiens 13</t>
  </si>
  <si>
    <t>24/07</t>
  </si>
  <si>
    <t>Psaumes 42–43</t>
  </si>
  <si>
    <t>25/07</t>
  </si>
  <si>
    <t>Psaumes 44–46</t>
  </si>
  <si>
    <t>26/07</t>
  </si>
  <si>
    <t>Psaumes 47–48</t>
  </si>
  <si>
    <t>27/07</t>
  </si>
  <si>
    <t>Psaumes 49–51</t>
  </si>
  <si>
    <t>Romains 13</t>
  </si>
  <si>
    <t>28/07</t>
  </si>
  <si>
    <t>Psaumes 52–53</t>
  </si>
  <si>
    <t>Apocalypse 17</t>
  </si>
  <si>
    <t>29/07</t>
  </si>
  <si>
    <t>Psaumes 54–56</t>
  </si>
  <si>
    <t>Apocalypse 16</t>
  </si>
  <si>
    <t>30/07</t>
  </si>
  <si>
    <t>Psaumes 57–59</t>
  </si>
  <si>
    <t>Colossiens 4</t>
  </si>
  <si>
    <t>31/07</t>
  </si>
  <si>
    <t>Psaumes 60–61</t>
  </si>
  <si>
    <t>Jean 4</t>
  </si>
  <si>
    <t>01/08</t>
  </si>
  <si>
    <t>Psaumes 62–64</t>
  </si>
  <si>
    <t>Actes 8</t>
  </si>
  <si>
    <t>02/08</t>
  </si>
  <si>
    <t>Psaumes 65–66</t>
  </si>
  <si>
    <t>Actes 9</t>
  </si>
  <si>
    <t>03/08</t>
  </si>
  <si>
    <t>Psaumes 67–69</t>
  </si>
  <si>
    <t>Actes 10</t>
  </si>
  <si>
    <t>04/08</t>
  </si>
  <si>
    <t>Psaumes 70–71</t>
  </si>
  <si>
    <t>Apocalypse 14</t>
  </si>
  <si>
    <t>05/08</t>
  </si>
  <si>
    <t>Psaumes 72–74</t>
  </si>
  <si>
    <t>Éphésiens 1</t>
  </si>
  <si>
    <t>06/08</t>
  </si>
  <si>
    <t>Psaumes 75–76</t>
  </si>
  <si>
    <t>07/08</t>
  </si>
  <si>
    <t>Psaumes 77–79</t>
  </si>
  <si>
    <t>08/08</t>
  </si>
  <si>
    <t>Psaumes 80–81</t>
  </si>
  <si>
    <t>09/08</t>
  </si>
  <si>
    <t>Psaumes 82–84</t>
  </si>
  <si>
    <t>10/08</t>
  </si>
  <si>
    <t>Psaumes 85–87</t>
  </si>
  <si>
    <t>11/08</t>
  </si>
  <si>
    <t>Psaumes 88–89</t>
  </si>
  <si>
    <t>Hébreux 13</t>
  </si>
  <si>
    <t>12/08</t>
  </si>
  <si>
    <t>Psaumes 90–92</t>
  </si>
  <si>
    <t>Matthieu 4</t>
  </si>
  <si>
    <t>13/08</t>
  </si>
  <si>
    <t>Psaumes 93–94</t>
  </si>
  <si>
    <t>14/08</t>
  </si>
  <si>
    <t>Psaumes 95–97</t>
  </si>
  <si>
    <t>15/08</t>
  </si>
  <si>
    <t>Psaumes 98–99</t>
  </si>
  <si>
    <t>16/08</t>
  </si>
  <si>
    <t>Psaumes 100–102</t>
  </si>
  <si>
    <t>17/08</t>
  </si>
  <si>
    <t>Psaumes 103–104</t>
  </si>
  <si>
    <t>18/08</t>
  </si>
  <si>
    <t>Psaumes 105–107</t>
  </si>
  <si>
    <t>Apocalypse 1</t>
  </si>
  <si>
    <t>19/08</t>
  </si>
  <si>
    <t>Psaumes 108–109</t>
  </si>
  <si>
    <t>Apocalypse 13</t>
  </si>
  <si>
    <t>20/08</t>
  </si>
  <si>
    <t>Psaumes 110–112</t>
  </si>
  <si>
    <t>Hébreux 6</t>
  </si>
  <si>
    <t>21/08</t>
  </si>
  <si>
    <t>Psaumes 113–115</t>
  </si>
  <si>
    <t>Apocalypse 12</t>
  </si>
  <si>
    <t>22/08</t>
  </si>
  <si>
    <t>Psaumes 116–117</t>
  </si>
  <si>
    <t>Apocalypse 3</t>
  </si>
  <si>
    <t>23/08</t>
  </si>
  <si>
    <t>Psaumes 118–120</t>
  </si>
  <si>
    <t>Philippiens 2</t>
  </si>
  <si>
    <t>24/08</t>
  </si>
  <si>
    <t>Psaumes 121–122</t>
  </si>
  <si>
    <t>Jean 4.23-24</t>
  </si>
  <si>
    <t>25/08</t>
  </si>
  <si>
    <t>Psaumes 123–125</t>
  </si>
  <si>
    <t>26/08</t>
  </si>
  <si>
    <t>Psaumes 126–127</t>
  </si>
  <si>
    <t>27/08</t>
  </si>
  <si>
    <t>Psaumes 128–130</t>
  </si>
  <si>
    <t>28/08</t>
  </si>
  <si>
    <t>Psaumes 131–132</t>
  </si>
  <si>
    <t>29/08</t>
  </si>
  <si>
    <t>Psaumes 133–135</t>
  </si>
  <si>
    <t>Apocalypse 22</t>
  </si>
  <si>
    <t>Victoire finale du Christ</t>
  </si>
  <si>
    <t>Les victoires et jugements de l'AT pointent vers la victoire finale du Roi des rois.</t>
  </si>
  <si>
    <t>30/08</t>
  </si>
  <si>
    <t>Psaumes 136–137</t>
  </si>
  <si>
    <t>1 Corinthiens 15</t>
  </si>
  <si>
    <t>Apocalypse 19.11-16</t>
  </si>
  <si>
    <t>31/08</t>
  </si>
  <si>
    <t>Psaumes 138–140</t>
  </si>
  <si>
    <t>01/09</t>
  </si>
  <si>
    <t>Psaumes 141–143</t>
  </si>
  <si>
    <t>Apocalypse 20</t>
  </si>
  <si>
    <t>02/09</t>
  </si>
  <si>
    <t>Psaumes 144–145</t>
  </si>
  <si>
    <t>Apocalypse 19</t>
  </si>
  <si>
    <t>03/09</t>
  </si>
  <si>
    <t>Psaumes 146–148</t>
  </si>
  <si>
    <t>Apocalypse 5</t>
  </si>
  <si>
    <t>04/09</t>
  </si>
  <si>
    <t>Psaumes 149–150</t>
  </si>
  <si>
    <t>Apocalypse 4</t>
  </si>
  <si>
    <t>05/09</t>
  </si>
  <si>
    <t>Proverbes 1–3</t>
  </si>
  <si>
    <t>Éphésiens 6</t>
  </si>
  <si>
    <t>06/09</t>
  </si>
  <si>
    <t>Proverbes 4–5</t>
  </si>
  <si>
    <t>07/09</t>
  </si>
  <si>
    <t>Proverbes 6–8</t>
  </si>
  <si>
    <t>08/09</t>
  </si>
  <si>
    <t>Proverbes 9–10</t>
  </si>
  <si>
    <t>Jacques 1</t>
  </si>
  <si>
    <t>09/09</t>
  </si>
  <si>
    <t>Proverbes 11–13</t>
  </si>
  <si>
    <t>10/09</t>
  </si>
  <si>
    <t>Proverbes 14–15</t>
  </si>
  <si>
    <t>11/09</t>
  </si>
  <si>
    <t>Proverbes 16–18</t>
  </si>
  <si>
    <t>12/09</t>
  </si>
  <si>
    <t>Proverbes 19–21</t>
  </si>
  <si>
    <t>13/09</t>
  </si>
  <si>
    <t>Proverbes 22–23</t>
  </si>
  <si>
    <t>Jacques 3</t>
  </si>
  <si>
    <t>14/09</t>
  </si>
  <si>
    <t>Proverbes 24–26</t>
  </si>
  <si>
    <t>15/09</t>
  </si>
  <si>
    <t>Proverbes 27–28</t>
  </si>
  <si>
    <t>16/09</t>
  </si>
  <si>
    <t>Proverbes 29–31</t>
  </si>
  <si>
    <t>1 Timothée 6</t>
  </si>
  <si>
    <t>17/09</t>
  </si>
  <si>
    <t>Ecclésiaste 1–2</t>
  </si>
  <si>
    <t>18/09</t>
  </si>
  <si>
    <t>Ecclésiaste 3–5</t>
  </si>
  <si>
    <t>19/09</t>
  </si>
  <si>
    <t>Ecclésiaste 6–7</t>
  </si>
  <si>
    <t>2 Thessaloniciens 3</t>
  </si>
  <si>
    <t>20/09</t>
  </si>
  <si>
    <t>Ecclésiaste 8–10</t>
  </si>
  <si>
    <t>21/09</t>
  </si>
  <si>
    <t>Ecclésiaste 11–12</t>
  </si>
  <si>
    <t>22/09</t>
  </si>
  <si>
    <t>Cantique 1–3</t>
  </si>
  <si>
    <t>Éphésiens 5</t>
  </si>
  <si>
    <t>Alliance nuptiale</t>
  </si>
  <si>
    <t>Le langage de l'alliance conjugale éclaire l'amour du Christ pour son Église.</t>
  </si>
  <si>
    <t>23/09</t>
  </si>
  <si>
    <t>Cantique 4–6</t>
  </si>
  <si>
    <t>Jean 13</t>
  </si>
  <si>
    <t>24/09</t>
  </si>
  <si>
    <t>Cantique 7–8</t>
  </si>
  <si>
    <t>Jean 14</t>
  </si>
  <si>
    <t>25/09</t>
  </si>
  <si>
    <t>Ésaïe 1–3</t>
  </si>
  <si>
    <t>Colossiens 1</t>
  </si>
  <si>
    <t>26/09</t>
  </si>
  <si>
    <t>Ésaïe 4–5</t>
  </si>
  <si>
    <t>1 Jean 2</t>
  </si>
  <si>
    <t>27/09</t>
  </si>
  <si>
    <t>Ésaïe 6–8</t>
  </si>
  <si>
    <t>Hébreux 2</t>
  </si>
  <si>
    <t>28/09</t>
  </si>
  <si>
    <t>Ésaïe 9–10</t>
  </si>
  <si>
    <t>Hébreux 1</t>
  </si>
  <si>
    <t>29/09</t>
  </si>
  <si>
    <t>Ésaïe 11–13</t>
  </si>
  <si>
    <t>Matthieu 16</t>
  </si>
  <si>
    <t>30/09</t>
  </si>
  <si>
    <t>Ésaïe 14–15</t>
  </si>
  <si>
    <t>Actes 1</t>
  </si>
  <si>
    <t>Apocalypse 11.15</t>
  </si>
  <si>
    <t>Royaume de Dieu</t>
  </si>
  <si>
    <t>Le règne de Dieu annoncé ou attendu dans l'AT est proclamé et accompli en Jésus.</t>
  </si>
  <si>
    <t>01/10</t>
  </si>
  <si>
    <t>Ésaïe 16–18</t>
  </si>
  <si>
    <t>Actes 17</t>
  </si>
  <si>
    <t>02/10</t>
  </si>
  <si>
    <t>Ésaïe 19–20</t>
  </si>
  <si>
    <t>Actes 18</t>
  </si>
  <si>
    <t>03/10</t>
  </si>
  <si>
    <t>Ésaïe 21–23</t>
  </si>
  <si>
    <t>Romains 14</t>
  </si>
  <si>
    <t>04/10</t>
  </si>
  <si>
    <t>Ésaïe 24–26</t>
  </si>
  <si>
    <t>Jean 5</t>
  </si>
  <si>
    <t>Résurrection et vie</t>
  </si>
  <si>
    <t>L'espérance de la vie au-delà de la mort s'accomplit dans la résurrection du Christ.</t>
  </si>
  <si>
    <t>05/10</t>
  </si>
  <si>
    <t>Ésaïe 27–28</t>
  </si>
  <si>
    <t>Jean 20</t>
  </si>
  <si>
    <t>06/10</t>
  </si>
  <si>
    <t>Ésaïe 29–31</t>
  </si>
  <si>
    <t>2 Timothée 3</t>
  </si>
  <si>
    <t>07/10</t>
  </si>
  <si>
    <t>Ésaïe 32–33</t>
  </si>
  <si>
    <t>Jude 1</t>
  </si>
  <si>
    <t>08/10</t>
  </si>
  <si>
    <t>Ésaïe 34–36</t>
  </si>
  <si>
    <t>2 Timothée 4</t>
  </si>
  <si>
    <t>09/10</t>
  </si>
  <si>
    <t>Ésaïe 37–38</t>
  </si>
  <si>
    <t>Hébreux 4</t>
  </si>
  <si>
    <t>10/10</t>
  </si>
  <si>
    <t>Ésaïe 39–41</t>
  </si>
  <si>
    <t>2 Corinthiens 4</t>
  </si>
  <si>
    <t>11/10</t>
  </si>
  <si>
    <t>Ésaïe 42–43</t>
  </si>
  <si>
    <t>Éphésiens 2</t>
  </si>
  <si>
    <t>12/10</t>
  </si>
  <si>
    <t>Ésaïe 44–46</t>
  </si>
  <si>
    <t>13/10</t>
  </si>
  <si>
    <t>Ésaïe 47–48</t>
  </si>
  <si>
    <t>Romains 6</t>
  </si>
  <si>
    <t>14/10</t>
  </si>
  <si>
    <t>Ésaïe 49–51</t>
  </si>
  <si>
    <t>Actes 3</t>
  </si>
  <si>
    <t>15/10</t>
  </si>
  <si>
    <t>Ésaïe 52–54</t>
  </si>
  <si>
    <t>Matthieu 26</t>
  </si>
  <si>
    <t>16/10</t>
  </si>
  <si>
    <t>Ésaïe 55–56</t>
  </si>
  <si>
    <t>Jean 7</t>
  </si>
  <si>
    <t>Actes 2.16-21</t>
  </si>
  <si>
    <t>Saint-Esprit</t>
  </si>
  <si>
    <t>La promesse de l'Esprit dans l'AT s'éclaire par son effusion et son œuvre dans le NT.</t>
  </si>
  <si>
    <t>17/10</t>
  </si>
  <si>
    <t>Ésaïe 57–59</t>
  </si>
  <si>
    <t>Jean 8</t>
  </si>
  <si>
    <t>18/10</t>
  </si>
  <si>
    <t>Ésaïe 60–61</t>
  </si>
  <si>
    <t>1 Corinthiens 12</t>
  </si>
  <si>
    <t>19/10</t>
  </si>
  <si>
    <t>Ésaïe 62–64</t>
  </si>
  <si>
    <t>1 Corinthiens 13</t>
  </si>
  <si>
    <t>20/10</t>
  </si>
  <si>
    <t>Ésaïe 65–66</t>
  </si>
  <si>
    <t>1 Corinthiens 14</t>
  </si>
  <si>
    <t>21/10</t>
  </si>
  <si>
    <t>Jérémie 1–3</t>
  </si>
  <si>
    <t>22/10</t>
  </si>
  <si>
    <t>Jérémie 4–5</t>
  </si>
  <si>
    <t>23/10</t>
  </si>
  <si>
    <t>Jérémie 6–8</t>
  </si>
  <si>
    <t>24/10</t>
  </si>
  <si>
    <t>Jérémie 9–10</t>
  </si>
  <si>
    <t>25/10</t>
  </si>
  <si>
    <t>Jérémie 11–13</t>
  </si>
  <si>
    <t>Philippiens 1</t>
  </si>
  <si>
    <t>26/10</t>
  </si>
  <si>
    <t>Jérémie 14–16</t>
  </si>
  <si>
    <t>2 Timothée 1</t>
  </si>
  <si>
    <t>27/10</t>
  </si>
  <si>
    <t>Jérémie 17–18</t>
  </si>
  <si>
    <t>1 Pierre 3</t>
  </si>
  <si>
    <t>28/10</t>
  </si>
  <si>
    <t>Jérémie 19–21</t>
  </si>
  <si>
    <t>Actes 25</t>
  </si>
  <si>
    <t>29/10</t>
  </si>
  <si>
    <t>Jérémie 22–23</t>
  </si>
  <si>
    <t>30/10</t>
  </si>
  <si>
    <t>Jérémie 24–26</t>
  </si>
  <si>
    <t>31/10</t>
  </si>
  <si>
    <t>Jérémie 27–28</t>
  </si>
  <si>
    <t>01/11</t>
  </si>
  <si>
    <t>Jérémie 29–31</t>
  </si>
  <si>
    <t>2 Corinthiens 3</t>
  </si>
  <si>
    <t>Luc 22.19-20</t>
  </si>
  <si>
    <t>Nouvelle alliance</t>
  </si>
  <si>
    <t>La promesse d'une alliance renouvelée se réalise par le sang du Christ et l'œuvre de l'Esprit.</t>
  </si>
  <si>
    <t>02/11</t>
  </si>
  <si>
    <t>Jérémie 32–33</t>
  </si>
  <si>
    <t>Actes 4</t>
  </si>
  <si>
    <t>03/11</t>
  </si>
  <si>
    <t>Jérémie 34–36</t>
  </si>
  <si>
    <t>04/11</t>
  </si>
  <si>
    <t>Jérémie 37–38</t>
  </si>
  <si>
    <t>05/11</t>
  </si>
  <si>
    <t>Jérémie 39–41</t>
  </si>
  <si>
    <t>06/11</t>
  </si>
  <si>
    <t>Jérémie 42–44</t>
  </si>
  <si>
    <t>2 Jean 1</t>
  </si>
  <si>
    <t>07/11</t>
  </si>
  <si>
    <t>Jérémie 45–46</t>
  </si>
  <si>
    <t>Romains 15</t>
  </si>
  <si>
    <t>08/11</t>
  </si>
  <si>
    <t>Jérémie 47–49</t>
  </si>
  <si>
    <t>Romains 16</t>
  </si>
  <si>
    <t>09/11</t>
  </si>
  <si>
    <t>Jérémie 50–51</t>
  </si>
  <si>
    <t>Éphésiens 3</t>
  </si>
  <si>
    <t>10/11</t>
  </si>
  <si>
    <t>Jérémie 52 ; Lamentations 1–2</t>
  </si>
  <si>
    <t>1 Pierre 1</t>
  </si>
  <si>
    <t>11/11</t>
  </si>
  <si>
    <t>Lamentations 3–4</t>
  </si>
  <si>
    <t>2 Thessaloniciens 1</t>
  </si>
  <si>
    <t>12/11</t>
  </si>
  <si>
    <t>Lamentations 5 ; Ézéchiel 1–2</t>
  </si>
  <si>
    <t>2 Pierre 3</t>
  </si>
  <si>
    <t>13/11</t>
  </si>
  <si>
    <t>Ézéchiel 3–4</t>
  </si>
  <si>
    <t>14/11</t>
  </si>
  <si>
    <t>Ézéchiel 5–7</t>
  </si>
  <si>
    <t>15/11</t>
  </si>
  <si>
    <t>Ézéchiel 8–9</t>
  </si>
  <si>
    <t>16/11</t>
  </si>
  <si>
    <t>Ézéchiel 10–12</t>
  </si>
  <si>
    <t>Jacques 4</t>
  </si>
  <si>
    <t>17/11</t>
  </si>
  <si>
    <t>Ézéchiel 13–15</t>
  </si>
  <si>
    <t>2 Pierre 2</t>
  </si>
  <si>
    <t>18/11</t>
  </si>
  <si>
    <t>Ézéchiel 16–17</t>
  </si>
  <si>
    <t>19/11</t>
  </si>
  <si>
    <t>Ézéchiel 18–20</t>
  </si>
  <si>
    <t>20/11</t>
  </si>
  <si>
    <t>Ézéchiel 21–22</t>
  </si>
  <si>
    <t>1 Jean 1</t>
  </si>
  <si>
    <t>21/11</t>
  </si>
  <si>
    <t>Ézéchiel 23–25</t>
  </si>
  <si>
    <t>22/11</t>
  </si>
  <si>
    <t>Ézéchiel 26–27</t>
  </si>
  <si>
    <t>23/11</t>
  </si>
  <si>
    <t>Ézéchiel 28–30</t>
  </si>
  <si>
    <t>Apocalypse 7</t>
  </si>
  <si>
    <t>24/11</t>
  </si>
  <si>
    <t>Ézéchiel 31–32</t>
  </si>
  <si>
    <t>Apocalypse 6</t>
  </si>
  <si>
    <t>25/11</t>
  </si>
  <si>
    <t>Ézéchiel 33–35</t>
  </si>
  <si>
    <t>Jean 9</t>
  </si>
  <si>
    <t>Jean 10.11-16</t>
  </si>
  <si>
    <t>Berger et conduite de Dieu</t>
  </si>
  <si>
    <t>Le Seigneur berger de son peuple se révèle pleinement en Jésus, le bon Berger.</t>
  </si>
  <si>
    <t>26/11</t>
  </si>
  <si>
    <t>Ézéchiel 36–37</t>
  </si>
  <si>
    <t>Jean 3</t>
  </si>
  <si>
    <t>27/11</t>
  </si>
  <si>
    <t>Ézéchiel 38–40</t>
  </si>
  <si>
    <t>Apocalypse 21</t>
  </si>
  <si>
    <t>28/11</t>
  </si>
  <si>
    <t>Ézéchiel 41–43</t>
  </si>
  <si>
    <t>3 Jean 1</t>
  </si>
  <si>
    <t>29/11</t>
  </si>
  <si>
    <t>Ézéchiel 44–45</t>
  </si>
  <si>
    <t>1 Pierre 2</t>
  </si>
  <si>
    <t>30/11</t>
  </si>
  <si>
    <t>Ézéchiel 46–48</t>
  </si>
  <si>
    <t>Tite 2</t>
  </si>
  <si>
    <t>01/12</t>
  </si>
  <si>
    <t>Daniel 1–2</t>
  </si>
  <si>
    <t>Actes 2</t>
  </si>
  <si>
    <t>02/12</t>
  </si>
  <si>
    <t>Daniel 3–5</t>
  </si>
  <si>
    <t>Actes 21</t>
  </si>
  <si>
    <t>03/12</t>
  </si>
  <si>
    <t>Daniel 6–7</t>
  </si>
  <si>
    <t>Matthieu 17</t>
  </si>
  <si>
    <t>04/12</t>
  </si>
  <si>
    <t>Daniel 8–10</t>
  </si>
  <si>
    <t>Marc 1</t>
  </si>
  <si>
    <t>05/12</t>
  </si>
  <si>
    <t>Daniel 11–12</t>
  </si>
  <si>
    <t>Marc 2</t>
  </si>
  <si>
    <t>06/12</t>
  </si>
  <si>
    <t>Osée 1–3</t>
  </si>
  <si>
    <t>Jean 15</t>
  </si>
  <si>
    <t>07/12</t>
  </si>
  <si>
    <t>Osée 4–5</t>
  </si>
  <si>
    <t>Romains 11</t>
  </si>
  <si>
    <t>08/12</t>
  </si>
  <si>
    <t>Osée 6–8</t>
  </si>
  <si>
    <t>Tite 3</t>
  </si>
  <si>
    <t>09/12</t>
  </si>
  <si>
    <t>Osée 9–11</t>
  </si>
  <si>
    <t>2 Corinthiens 9</t>
  </si>
  <si>
    <t>10/12</t>
  </si>
  <si>
    <t>Osée 12–13</t>
  </si>
  <si>
    <t>11/12</t>
  </si>
  <si>
    <t>Osée 14 ; Joël 1–2</t>
  </si>
  <si>
    <t>Jean 16</t>
  </si>
  <si>
    <t>12/12</t>
  </si>
  <si>
    <t>Joël 3 ; Amos 1</t>
  </si>
  <si>
    <t>Jean 17</t>
  </si>
  <si>
    <t>13/12</t>
  </si>
  <si>
    <t>Amos 2–4</t>
  </si>
  <si>
    <t>Apocalypse 8</t>
  </si>
  <si>
    <t>14/12</t>
  </si>
  <si>
    <t>Amos 5–6</t>
  </si>
  <si>
    <t>Apocalypse 9</t>
  </si>
  <si>
    <t>15/12</t>
  </si>
  <si>
    <t>Amos 7–9</t>
  </si>
  <si>
    <t>Apocalypse 10</t>
  </si>
  <si>
    <t>16/12</t>
  </si>
  <si>
    <t>Abdias 1 ; Jonas 1</t>
  </si>
  <si>
    <t>Matthieu 28</t>
  </si>
  <si>
    <t>17/12</t>
  </si>
  <si>
    <t>Jonas 2–4</t>
  </si>
  <si>
    <t>Luc 24</t>
  </si>
  <si>
    <t>18/12</t>
  </si>
  <si>
    <t>Michée 1–2</t>
  </si>
  <si>
    <t>Apocalypse 11</t>
  </si>
  <si>
    <t>19/12</t>
  </si>
  <si>
    <t>Michée 3–5</t>
  </si>
  <si>
    <t>Marc 3</t>
  </si>
  <si>
    <t>20/12</t>
  </si>
  <si>
    <t>Michée 6–7 ; Nahum 1</t>
  </si>
  <si>
    <t>Romains 3</t>
  </si>
  <si>
    <t>21/12</t>
  </si>
  <si>
    <t>Nahum 2–3</t>
  </si>
  <si>
    <t>Apocalypse 15</t>
  </si>
  <si>
    <t>22/12</t>
  </si>
  <si>
    <t>Habacuc 1–3</t>
  </si>
  <si>
    <t>Jacques 5</t>
  </si>
  <si>
    <t>23/12</t>
  </si>
  <si>
    <t>Sophonie 1–2</t>
  </si>
  <si>
    <t>Luc 15</t>
  </si>
  <si>
    <t>24/12</t>
  </si>
  <si>
    <t>Sophonie 3 ; Aggée 1–2</t>
  </si>
  <si>
    <t>Matthieu 22</t>
  </si>
  <si>
    <t>25/12</t>
  </si>
  <si>
    <t>Zacharie 1–2</t>
  </si>
  <si>
    <t>Hébreux 7</t>
  </si>
  <si>
    <t>26/12</t>
  </si>
  <si>
    <t>Zacharie 3–5</t>
  </si>
  <si>
    <t>Apocalypse 2</t>
  </si>
  <si>
    <t>27/12</t>
  </si>
  <si>
    <t>Zacharie 6–7</t>
  </si>
  <si>
    <t>Luc 21</t>
  </si>
  <si>
    <t>28/12</t>
  </si>
  <si>
    <t>Zacharie 8–10</t>
  </si>
  <si>
    <t>Jean 10</t>
  </si>
  <si>
    <t>29/12</t>
  </si>
  <si>
    <t>Zacharie 11–12</t>
  </si>
  <si>
    <t>Jean 21</t>
  </si>
  <si>
    <t>30/12</t>
  </si>
  <si>
    <t>Zacharie 13–14 ; Malachie 1</t>
  </si>
  <si>
    <t>Actes 19</t>
  </si>
  <si>
    <t>31/12</t>
  </si>
  <si>
    <t>Malachie 2–4</t>
  </si>
  <si>
    <t>Hébreux 5</t>
  </si>
  <si>
    <t>PLAN DE LECTURE BIBLIQUE EN 1 AN — AT/NT AVEC LIENS THÉOLOGIQUES</t>
  </si>
  <si>
    <t>Principe</t>
  </si>
  <si>
    <t>Toute la Bible est couverte en un an. L'AT est lu dans l'ordre canonique ; les 260 chapitres du NT sont répartis selon leur proximité avec les passages de l'AT.</t>
  </si>
  <si>
    <t>Pourquoi un « passage miroir » ?</t>
  </si>
  <si>
    <t>Quand le chapitre NT nécessaire à la couverture intégrale n'offre qu'un lien large avec l'AT, un court passage NT supplémentaire est proposé. Il constitue alors le rapprochement théologique principal du jour.</t>
  </si>
  <si>
    <t>Lecture quotidienne</t>
  </si>
  <si>
    <t>Lire l'AT, puis la colonne « Nouveau Testament ». Si la colonne « Passage miroir conseillé » contient une référence, la lire également comme courte clé de rapprochement.</t>
  </si>
  <si>
    <t>105 jours d'écho</t>
  </si>
  <si>
    <t>Le NT ne compte que 260 chapitres pour 365 jours. Les 105 jours sans nouveau chapitre intégral utilisent directement un passage NT en écho : il apparaît alors dans la colonne « Nouveau Testament ».</t>
  </si>
  <si>
    <t>Nature des liens</t>
  </si>
  <si>
    <t>Le fichier distingue : promesse/accomplissement, typologie/accomplissement, avertissement/contraste, continuité théologique et pratique, déploiement du dessein de Dieu, ou écho thématique.</t>
  </si>
  <si>
    <t>Prudence d'interprétation</t>
  </si>
  <si>
    <t>Un rapprochement thématique n'est pas automatiquement une prophétie. Le plan réserve le langage d'accomplissement aux grands motifs bibliques reconnus et présente les autres relations comme continuité, typologie ou écho.</t>
  </si>
  <si>
    <t>Thèmes majeurs</t>
  </si>
  <si>
    <t>Création, chute, alliance, sacrifice, Pâque, Exode, Loi, sainteté, prêtrise, présence, Temple, désert, repos, royauté, Messie, Esprit, nations, mission, souffrance, espérance, résurrection, restauration, nouvelle alliance et nouvelle création.</t>
  </si>
  <si>
    <t>Rythme</t>
  </si>
  <si>
    <t>La colonne Date va du 1er janvier au 31 décembre mais le plan peut être commencé n'importe quand en suivant le numéro de jour.</t>
  </si>
  <si>
    <t>La liste déroulante permet : À lire / Lu / À reprendre. La dernière colonne reste libre pour vos notes et versets prioritaires.</t>
  </si>
  <si>
    <t>Méthode de méditation</t>
  </si>
  <si>
    <t>1.</t>
  </si>
  <si>
    <t>Repérer dans l'AT le problème, la promesse, la figure, l'alliance ou l'action de Dieu.</t>
  </si>
  <si>
    <t>2.</t>
  </si>
  <si>
    <t>Lire le NT et demander : accomplissement, continuité, contraste ou élargissement aux nations ?</t>
  </si>
  <si>
    <t>3.</t>
  </si>
  <si>
    <t>Si un passage miroir est indiqué, l'utiliser pour préciser le lien sans forcer le chapitre NT principal.</t>
  </si>
  <si>
    <t>4.</t>
  </si>
  <si>
    <t>Noter un mot-clé et un verset prioritaire dans chacun des deux Testaments.</t>
  </si>
  <si>
    <t>5.</t>
  </si>
  <si>
    <t>Terminer par une prière issue directement des textes lus.</t>
  </si>
  <si>
    <t>Version audio</t>
  </si>
  <si>
    <t>Source principale</t>
  </si>
  <si>
    <t>Les boutons audio utilisent la Bible Segond 21 sur YouVersion, car cette version dispose d'un audio complet AT + NT et de liens directs par chapitre.</t>
  </si>
  <si>
    <t>Navigation</t>
  </si>
  <si>
    <t>Le bouton ouvre le premier chapitre du passage du jour. Pour 2 ou 3 chapitres consécutifs, utiliser simplement « chapitre suivant » dans le lecteur.</t>
  </si>
  <si>
    <t>Passages partiels</t>
  </si>
  <si>
    <t>Quand le plan indique seulement quelques versets, le lecteur ouvre le chapitre entier ; la référence du plan indique où commencer/arrêter.</t>
  </si>
  <si>
    <t>Livre NT</t>
  </si>
  <si>
    <t>Chapitre</t>
  </si>
  <si>
    <t>Jour attribué</t>
  </si>
  <si>
    <t>AT associé</t>
  </si>
  <si>
    <t>Miroir si nécessaire</t>
  </si>
  <si>
    <t>Matthieu</t>
  </si>
  <si>
    <t>Marc</t>
  </si>
  <si>
    <t>Luc</t>
  </si>
  <si>
    <t>Jean</t>
  </si>
  <si>
    <t>Actes</t>
  </si>
  <si>
    <t>Romains</t>
  </si>
  <si>
    <t>1 Corinthiens</t>
  </si>
  <si>
    <t>2 Corinthiens</t>
  </si>
  <si>
    <t>Galates</t>
  </si>
  <si>
    <t>Éphésiens</t>
  </si>
  <si>
    <t>Philippiens</t>
  </si>
  <si>
    <t>Colossiens</t>
  </si>
  <si>
    <t>1 Thessaloniciens</t>
  </si>
  <si>
    <t>2 Thessaloniciens</t>
  </si>
  <si>
    <t>1 Timothée</t>
  </si>
  <si>
    <t>2 Timothée</t>
  </si>
  <si>
    <t>Tite</t>
  </si>
  <si>
    <t>Philémon</t>
  </si>
  <si>
    <t>Hébreux</t>
  </si>
  <si>
    <t>Jacques</t>
  </si>
  <si>
    <t>1 Pierre</t>
  </si>
  <si>
    <t>2 Pierre</t>
  </si>
  <si>
    <t>1 Jean</t>
  </si>
  <si>
    <t>2 Jean</t>
  </si>
  <si>
    <t>3 Jean</t>
  </si>
  <si>
    <t>Jude</t>
  </si>
  <si>
    <t>Apocalypse</t>
  </si>
  <si>
    <t>Thème</t>
  </si>
  <si>
    <t>Code interne</t>
  </si>
  <si>
    <t>Type de relation privilégié</t>
  </si>
  <si>
    <t>worship</t>
  </si>
  <si>
    <t>covenant</t>
  </si>
  <si>
    <t>bride</t>
  </si>
  <si>
    <t>Amour et fidélité</t>
  </si>
  <si>
    <t>love</t>
  </si>
  <si>
    <t>shepherd</t>
  </si>
  <si>
    <t>Chute, péché et besoin de salut</t>
  </si>
  <si>
    <t>fall</t>
  </si>
  <si>
    <t>creation</t>
  </si>
  <si>
    <t>wilderness</t>
  </si>
  <si>
    <t>Eau, vie et purification</t>
  </si>
  <si>
    <t>water</t>
  </si>
  <si>
    <t>hope</t>
  </si>
  <si>
    <t>exodus</t>
  </si>
  <si>
    <t>Filiation et adoption</t>
  </si>
  <si>
    <t>sonship</t>
  </si>
  <si>
    <t>faith</t>
  </si>
  <si>
    <t>grace</t>
  </si>
  <si>
    <t>Guérison et compassion</t>
  </si>
  <si>
    <t>healing</t>
  </si>
  <si>
    <t>Générosité et partage</t>
  </si>
  <si>
    <t>generosity</t>
  </si>
  <si>
    <t>Humilité et service</t>
  </si>
  <si>
    <t>humility</t>
  </si>
  <si>
    <t>Idolâtrie et fidélité</t>
  </si>
  <si>
    <t>idolatry</t>
  </si>
  <si>
    <t>judgment</t>
  </si>
  <si>
    <t>justice</t>
  </si>
  <si>
    <t>law</t>
  </si>
  <si>
    <t>Lumière et ténèbres</t>
  </si>
  <si>
    <t>light</t>
  </si>
  <si>
    <t>messiah</t>
  </si>
  <si>
    <t>Mission et témoignage</t>
  </si>
  <si>
    <t>mission</t>
  </si>
  <si>
    <t>nations</t>
  </si>
  <si>
    <t>new_covenant</t>
  </si>
  <si>
    <t>Pain, nourriture et vie</t>
  </si>
  <si>
    <t>bread</t>
  </si>
  <si>
    <t>forgiveness</t>
  </si>
  <si>
    <t>Parole de Dieu</t>
  </si>
  <si>
    <t>word</t>
  </si>
  <si>
    <t>Peuple de Dieu et Église</t>
  </si>
  <si>
    <t>church</t>
  </si>
  <si>
    <t>Prière</t>
  </si>
  <si>
    <t>prayer</t>
  </si>
  <si>
    <t>Promesse et accomplissement</t>
  </si>
  <si>
    <t>promise</t>
  </si>
  <si>
    <t>providence</t>
  </si>
  <si>
    <t>Présence de Dieu</t>
  </si>
  <si>
    <t>presence</t>
  </si>
  <si>
    <t>priesthood</t>
  </si>
  <si>
    <t>passover</t>
  </si>
  <si>
    <t>Repentance</t>
  </si>
  <si>
    <t>repentance</t>
  </si>
  <si>
    <t>rest</t>
  </si>
  <si>
    <t>restoration</t>
  </si>
  <si>
    <t>Retour du Seigneur</t>
  </si>
  <si>
    <t>return</t>
  </si>
  <si>
    <t>king</t>
  </si>
  <si>
    <t>kingdom</t>
  </si>
  <si>
    <t>Réconciliation</t>
  </si>
  <si>
    <t>reconciliation</t>
  </si>
  <si>
    <t>resurrection</t>
  </si>
  <si>
    <t>sacrifice</t>
  </si>
  <si>
    <t>wisdom</t>
  </si>
  <si>
    <t>spirit</t>
  </si>
  <si>
    <t>holiness</t>
  </si>
  <si>
    <t>Service et responsabilité</t>
  </si>
  <si>
    <t>leadership</t>
  </si>
  <si>
    <t>Serviteur de Dieu</t>
  </si>
  <si>
    <t>servant</t>
  </si>
  <si>
    <t>suffering</t>
  </si>
  <si>
    <t>tabernacle</t>
  </si>
  <si>
    <t>temple</t>
  </si>
  <si>
    <t>Unité du peuple de Dieu</t>
  </si>
  <si>
    <t>unity</t>
  </si>
  <si>
    <t>final_victory</t>
  </si>
  <si>
    <t>Vigilance</t>
  </si>
  <si>
    <t>watchfulness</t>
  </si>
  <si>
    <t>Vérité</t>
  </si>
  <si>
    <t>truth</t>
  </si>
  <si>
    <t>Lecture AT</t>
  </si>
  <si>
    <t>Lecture NT</t>
  </si>
  <si>
    <t>Passage miroir</t>
  </si>
  <si>
    <t>URL audio AT</t>
  </si>
  <si>
    <t>URL audio NT</t>
  </si>
  <si>
    <t>URL audio miroir</t>
  </si>
  <si>
    <t>https://www.bible.com/fr/audio-bible/152/GEN.1.S21</t>
  </si>
  <si>
    <t>https://www.bible.com/fr/audio-bible/152/JHN.1.S21</t>
  </si>
  <si>
    <t>https://www.bible.com/fr/audio-bible/152/GEN.3.S21</t>
  </si>
  <si>
    <t>https://www.bible.com/fr/audio-bible/152/ROM.5.S21</t>
  </si>
  <si>
    <t>https://www.bible.com/fr/audio-bible/152/EPH.2.S21</t>
  </si>
  <si>
    <t>https://www.bible.com/fr/audio-bible/152/GEN.6.S21</t>
  </si>
  <si>
    <t>https://www.bible.com/fr/audio-bible/152/HEB.8.S21</t>
  </si>
  <si>
    <t>https://www.bible.com/fr/audio-bible/152/GEN.8.S21</t>
  </si>
  <si>
    <t>https://www.bible.com/fr/audio-bible/152/ACT.15.S21</t>
  </si>
  <si>
    <t>https://www.bible.com/fr/audio-bible/152/GEN.11.S21</t>
  </si>
  <si>
    <t>https://www.bible.com/fr/audio-bible/152/ACT.13.S21</t>
  </si>
  <si>
    <t>https://www.bible.com/fr/audio-bible/152/GEN.13.S21</t>
  </si>
  <si>
    <t>https://www.bible.com/fr/audio-bible/152/MAT.15.S21</t>
  </si>
  <si>
    <t>https://www.bible.com/fr/audio-bible/152/GEN.16.S21</t>
  </si>
  <si>
    <t>https://www.bible.com/fr/audio-bible/152/MAT.14.S21</t>
  </si>
  <si>
    <t>https://www.bible.com/fr/audio-bible/152/GEN.18.S21</t>
  </si>
  <si>
    <t>https://www.bible.com/fr/audio-bible/152/GEN.21.S21</t>
  </si>
  <si>
    <t>https://www.bible.com/fr/audio-bible/152/HEB.10.S21</t>
  </si>
  <si>
    <t>https://www.bible.com/fr/audio-bible/152/GEN.23.S21</t>
  </si>
  <si>
    <t>https://www.bible.com/fr/audio-bible/152/GEN.26.S21</t>
  </si>
  <si>
    <t>https://www.bible.com/fr/audio-bible/152/GEN.28.S21</t>
  </si>
  <si>
    <t>https://www.bible.com/fr/audio-bible/152/GAL.4.S21</t>
  </si>
  <si>
    <t>https://www.bible.com/fr/audio-bible/152/GEN.31.S21</t>
  </si>
  <si>
    <t>https://www.bible.com/fr/audio-bible/152/MAT.20.S21</t>
  </si>
  <si>
    <t>https://www.bible.com/fr/audio-bible/152/GEN.34.S21</t>
  </si>
  <si>
    <t>https://www.bible.com/fr/audio-bible/152/MAT.19.S21</t>
  </si>
  <si>
    <t>https://www.bible.com/fr/audio-bible/152/GEN.36.S21</t>
  </si>
  <si>
    <t>https://www.bible.com/fr/audio-bible/152/ACT.26.S21</t>
  </si>
  <si>
    <t>https://www.bible.com/fr/audio-bible/152/GEN.39.S21</t>
  </si>
  <si>
    <t>https://www.bible.com/fr/audio-bible/152/ACT.24.S21</t>
  </si>
  <si>
    <t>https://www.bible.com/fr/audio-bible/152/1PE.2.S21</t>
  </si>
  <si>
    <t>https://www.bible.com/fr/audio-bible/152/GEN.41.S21</t>
  </si>
  <si>
    <t>https://www.bible.com/fr/audio-bible/152/ACT.23.S21</t>
  </si>
  <si>
    <t>https://www.bible.com/fr/audio-bible/152/GEN.44.S21</t>
  </si>
  <si>
    <t>https://www.bible.com/fr/audio-bible/152/PHM.1.S21</t>
  </si>
  <si>
    <t>https://www.bible.com/fr/audio-bible/152/EPH.4.S21</t>
  </si>
  <si>
    <t>https://www.bible.com/fr/audio-bible/152/GEN.46.S21</t>
  </si>
  <si>
    <t>https://www.bible.com/fr/audio-bible/152/ACT.16.S21</t>
  </si>
  <si>
    <t>https://www.bible.com/fr/audio-bible/152/GEN.49.S21</t>
  </si>
  <si>
    <t>https://www.bible.com/fr/audio-bible/152/ACT.14.S21</t>
  </si>
  <si>
    <t>https://www.bible.com/fr/audio-bible/152/EPH.3.S21</t>
  </si>
  <si>
    <t>https://www.bible.com/fr/audio-bible/152/EXO.1.S21</t>
  </si>
  <si>
    <t>https://www.bible.com/fr/audio-bible/152/1CO.10.S21</t>
  </si>
  <si>
    <t>https://www.bible.com/fr/audio-bible/152/EXO.4.S21</t>
  </si>
  <si>
    <t>https://www.bible.com/fr/audio-bible/152/EXO.6.S21</t>
  </si>
  <si>
    <t>https://www.bible.com/fr/audio-bible/152/1CO.9.S21</t>
  </si>
  <si>
    <t>https://www.bible.com/fr/audio-bible/152/EXO.9.S21</t>
  </si>
  <si>
    <t>https://www.bible.com/fr/audio-bible/152/1CO.8.S21</t>
  </si>
  <si>
    <t>https://www.bible.com/fr/audio-bible/152/EXO.12.S21</t>
  </si>
  <si>
    <t>https://www.bible.com/fr/audio-bible/152/MRK.14.S21</t>
  </si>
  <si>
    <t>https://www.bible.com/fr/audio-bible/152/EXO.14.S21</t>
  </si>
  <si>
    <t>https://www.bible.com/fr/audio-bible/152/JHN.6.S21</t>
  </si>
  <si>
    <t>https://www.bible.com/fr/audio-bible/152/EXO.17.S21</t>
  </si>
  <si>
    <t>https://www.bible.com/fr/audio-bible/152/HEB.3.S21</t>
  </si>
  <si>
    <t>https://www.bible.com/fr/audio-bible/152/EXO.19.S21</t>
  </si>
  <si>
    <t>https://www.bible.com/fr/audio-bible/152/EXO.22.S21</t>
  </si>
  <si>
    <t>https://www.bible.com/fr/audio-bible/152/EXO.24.S21</t>
  </si>
  <si>
    <t>https://www.bible.com/fr/audio-bible/152/HEB.7.S21</t>
  </si>
  <si>
    <t>https://www.bible.com/fr/audio-bible/152/EXO.27.S21</t>
  </si>
  <si>
    <t>https://www.bible.com/fr/audio-bible/152/EXO.29.S21</t>
  </si>
  <si>
    <t>https://www.bible.com/fr/audio-bible/152/EXO.32.S21</t>
  </si>
  <si>
    <t>https://www.bible.com/fr/audio-bible/152/ROM.10.S21</t>
  </si>
  <si>
    <t>https://www.bible.com/fr/audio-bible/152/EXO.34.S21</t>
  </si>
  <si>
    <t>https://www.bible.com/fr/audio-bible/152/ROM.9.S21</t>
  </si>
  <si>
    <t>https://www.bible.com/fr/audio-bible/152/EXO.37.S21</t>
  </si>
  <si>
    <t>https://www.bible.com/fr/audio-bible/152/GAL.6.S21</t>
  </si>
  <si>
    <t>https://www.bible.com/fr/audio-bible/152/HEB.9.S21</t>
  </si>
  <si>
    <t>https://www.bible.com/fr/audio-bible/152/LEV.1.S21</t>
  </si>
  <si>
    <t>https://www.bible.com/fr/audio-bible/152/LEV.2.S21</t>
  </si>
  <si>
    <t>https://www.bible.com/fr/audio-bible/152/LEV.5.S21</t>
  </si>
  <si>
    <t>https://www.bible.com/fr/audio-bible/152/LEV.7.S21</t>
  </si>
  <si>
    <t>https://www.bible.com/fr/audio-bible/152/LEV.10.S21</t>
  </si>
  <si>
    <t>https://www.bible.com/fr/audio-bible/152/MAT.23.S21</t>
  </si>
  <si>
    <t>https://www.bible.com/fr/audio-bible/152/LEV.12.S21</t>
  </si>
  <si>
    <t>https://www.bible.com/fr/audio-bible/152/1CO.7.S21</t>
  </si>
  <si>
    <t>https://www.bible.com/fr/audio-bible/152/1PE.1.S21</t>
  </si>
  <si>
    <t>https://www.bible.com/fr/audio-bible/152/LEV.15.S21</t>
  </si>
  <si>
    <t>https://www.bible.com/fr/audio-bible/152/LEV.17.S21</t>
  </si>
  <si>
    <t>https://www.bible.com/fr/audio-bible/152/JAS.2.S21</t>
  </si>
  <si>
    <t>https://www.bible.com/fr/audio-bible/152/LEV.20.S21</t>
  </si>
  <si>
    <t>https://www.bible.com/fr/audio-bible/152/COL.3.S21</t>
  </si>
  <si>
    <t>https://www.bible.com/fr/audio-bible/152/LEV.22.S21</t>
  </si>
  <si>
    <t>https://www.bible.com/fr/audio-bible/152/MAT.27.S21</t>
  </si>
  <si>
    <t>https://www.bible.com/fr/audio-bible/152/LEV.25.S21</t>
  </si>
  <si>
    <t>https://www.bible.com/fr/audio-bible/152/LUK.23.S21</t>
  </si>
  <si>
    <t>https://www.bible.com/fr/audio-bible/152/1CO.5.S21</t>
  </si>
  <si>
    <t>https://www.bible.com/fr/audio-bible/152/NUM.1.S21</t>
  </si>
  <si>
    <t>https://www.bible.com/fr/audio-bible/152/1CO.6.S21</t>
  </si>
  <si>
    <t>https://www.bible.com/fr/audio-bible/152/NUM.3.S21</t>
  </si>
  <si>
    <t>https://www.bible.com/fr/audio-bible/152/NUM.6.S21</t>
  </si>
  <si>
    <t>https://www.bible.com/fr/audio-bible/152/ACT.5.S21</t>
  </si>
  <si>
    <t>https://www.bible.com/fr/audio-bible/152/NUM.8.S21</t>
  </si>
  <si>
    <t>https://www.bible.com/fr/audio-bible/152/NUM.11.S21</t>
  </si>
  <si>
    <t>https://www.bible.com/fr/audio-bible/152/MAT.24.S21</t>
  </si>
  <si>
    <t>https://www.bible.com/fr/audio-bible/152/NUM.13.S21</t>
  </si>
  <si>
    <t>https://www.bible.com/fr/audio-bible/152/MAT.25.S21</t>
  </si>
  <si>
    <t>https://www.bible.com/fr/audio-bible/152/NUM.16.S21</t>
  </si>
  <si>
    <t>https://www.bible.com/fr/audio-bible/152/NUM.18.S21</t>
  </si>
  <si>
    <t>https://www.bible.com/fr/audio-bible/152/MRK.4.S21</t>
  </si>
  <si>
    <t>https://www.bible.com/fr/audio-bible/152/NUM.21.S21</t>
  </si>
  <si>
    <t>https://www.bible.com/fr/audio-bible/152/MRK.6.S21</t>
  </si>
  <si>
    <t>https://www.bible.com/fr/audio-bible/152/NUM.23.S21</t>
  </si>
  <si>
    <t>https://www.bible.com/fr/audio-bible/152/MAT.1.S21</t>
  </si>
  <si>
    <t>https://www.bible.com/fr/audio-bible/152/NUM.26.S21</t>
  </si>
  <si>
    <t>https://www.bible.com/fr/audio-bible/152/1TI.3.S21</t>
  </si>
  <si>
    <t>https://www.bible.com/fr/audio-bible/152/NUM.29.S21</t>
  </si>
  <si>
    <t>https://www.bible.com/fr/audio-bible/152/HEB.12.S21</t>
  </si>
  <si>
    <t>https://www.bible.com/fr/audio-bible/152/NUM.31.S21</t>
  </si>
  <si>
    <t>https://www.bible.com/fr/audio-bible/152/ROM.2.S21</t>
  </si>
  <si>
    <t>https://www.bible.com/fr/audio-bible/152/NUM.34.S21</t>
  </si>
  <si>
    <t>https://www.bible.com/fr/audio-bible/152/ROM.1.S21</t>
  </si>
  <si>
    <t>https://www.bible.com/fr/audio-bible/152/DEU.1.S21</t>
  </si>
  <si>
    <t>https://www.bible.com/fr/audio-bible/152/MRK.16.S21</t>
  </si>
  <si>
    <t>https://www.bible.com/fr/audio-bible/152/HEB.4.S21</t>
  </si>
  <si>
    <t>https://www.bible.com/fr/audio-bible/152/DEU.3.S21</t>
  </si>
  <si>
    <t>https://www.bible.com/fr/audio-bible/152/MAT.3.S21</t>
  </si>
  <si>
    <t>https://www.bible.com/fr/audio-bible/152/DEU.5.S21</t>
  </si>
  <si>
    <t>https://www.bible.com/fr/audio-bible/152/MAT.6.S21</t>
  </si>
  <si>
    <t>https://www.bible.com/fr/audio-bible/152/DEU.8.S21</t>
  </si>
  <si>
    <t>https://www.bible.com/fr/audio-bible/152/MAT.7.S21</t>
  </si>
  <si>
    <t>https://www.bible.com/fr/audio-bible/152/DEU.10.S21</t>
  </si>
  <si>
    <t>https://www.bible.com/fr/audio-bible/152/MAT.5.S21</t>
  </si>
  <si>
    <t>https://www.bible.com/fr/audio-bible/152/DEU.13.S21</t>
  </si>
  <si>
    <t>https://www.bible.com/fr/audio-bible/152/LUK.1.S21</t>
  </si>
  <si>
    <t>https://www.bible.com/fr/audio-bible/152/DEU.15.S21</t>
  </si>
  <si>
    <t>https://www.bible.com/fr/audio-bible/152/REV.18.S21</t>
  </si>
  <si>
    <t>https://www.bible.com/fr/audio-bible/152/DEU.18.S21</t>
  </si>
  <si>
    <t>https://www.bible.com/fr/audio-bible/152/ROM.12.S21</t>
  </si>
  <si>
    <t>https://www.bible.com/fr/audio-bible/152/DEU.21.S21</t>
  </si>
  <si>
    <t>https://www.bible.com/fr/audio-bible/152/1TH.4.S21</t>
  </si>
  <si>
    <t>https://www.bible.com/fr/audio-bible/152/DEU.23.S21</t>
  </si>
  <si>
    <t>https://www.bible.com/fr/audio-bible/152/1TH.3.S21</t>
  </si>
  <si>
    <t>https://www.bible.com/fr/audio-bible/152/DEU.26.S21</t>
  </si>
  <si>
    <t>https://www.bible.com/fr/audio-bible/152/GAL.5.S21</t>
  </si>
  <si>
    <t>https://www.bible.com/fr/audio-bible/152/DEU.28.S21</t>
  </si>
  <si>
    <t>https://www.bible.com/fr/audio-bible/152/LUK.11.S21</t>
  </si>
  <si>
    <t>https://www.bible.com/fr/audio-bible/152/DEU.31.S21</t>
  </si>
  <si>
    <t>https://www.bible.com/fr/audio-bible/152/LUK.10.S21</t>
  </si>
  <si>
    <t>https://www.bible.com/fr/audio-bible/152/DEU.33.S21</t>
  </si>
  <si>
    <t>https://www.bible.com/fr/audio-bible/152/GAL.3.S21</t>
  </si>
  <si>
    <t>https://www.bible.com/fr/audio-bible/152/JOS.2.S21</t>
  </si>
  <si>
    <t>https://www.bible.com/fr/audio-bible/152/LUK.6.S21</t>
  </si>
  <si>
    <t>https://www.bible.com/fr/audio-bible/152/JOS.4.S21</t>
  </si>
  <si>
    <t>https://www.bible.com/fr/audio-bible/152/LUK.7.S21</t>
  </si>
  <si>
    <t>https://www.bible.com/fr/audio-bible/152/JOS.7.S21</t>
  </si>
  <si>
    <t>https://www.bible.com/fr/audio-bible/152/LUK.8.S21</t>
  </si>
  <si>
    <t>https://www.bible.com/fr/audio-bible/152/HEB.11.S21</t>
  </si>
  <si>
    <t>https://www.bible.com/fr/audio-bible/152/JOS.9.S21</t>
  </si>
  <si>
    <t>https://www.bible.com/fr/audio-bible/152/LUK.9.S21</t>
  </si>
  <si>
    <t>https://www.bible.com/fr/audio-bible/152/JOS.12.S21</t>
  </si>
  <si>
    <t>https://www.bible.com/fr/audio-bible/152/JOS.15.S21</t>
  </si>
  <si>
    <t>https://www.bible.com/fr/audio-bible/152/LUK.13.S21</t>
  </si>
  <si>
    <t>https://www.bible.com/fr/audio-bible/152/JOS.17.S21</t>
  </si>
  <si>
    <t>https://www.bible.com/fr/audio-bible/152/LUK.14.S21</t>
  </si>
  <si>
    <t>https://www.bible.com/fr/audio-bible/152/JOS.20.S21</t>
  </si>
  <si>
    <t>https://www.bible.com/fr/audio-bible/152/MAT.18.S21</t>
  </si>
  <si>
    <t>https://www.bible.com/fr/audio-bible/152/JOS.22.S21</t>
  </si>
  <si>
    <t>https://www.bible.com/fr/audio-bible/152/ROM.4.S21</t>
  </si>
  <si>
    <t>https://www.bible.com/fr/audio-bible/152/JDG.1.S21</t>
  </si>
  <si>
    <t>https://www.bible.com/fr/audio-bible/152/MRK.9.S21</t>
  </si>
  <si>
    <t>https://www.bible.com/fr/audio-bible/152/JDG.3.S21</t>
  </si>
  <si>
    <t>https://www.bible.com/fr/audio-bible/152/MRK.10.S21</t>
  </si>
  <si>
    <t>https://www.bible.com/fr/audio-bible/152/JDG.6.S21</t>
  </si>
  <si>
    <t>https://www.bible.com/fr/audio-bible/152/JDG.8.S21</t>
  </si>
  <si>
    <t>https://www.bible.com/fr/audio-bible/152/2CO.12.S21</t>
  </si>
  <si>
    <t>https://www.bible.com/fr/audio-bible/152/JDG.11.S21</t>
  </si>
  <si>
    <t>https://www.bible.com/fr/audio-bible/152/2CO.11.S21</t>
  </si>
  <si>
    <t>https://www.bible.com/fr/audio-bible/152/JDG.13.S21</t>
  </si>
  <si>
    <t>https://www.bible.com/fr/audio-bible/152/2CO.10.S21</t>
  </si>
  <si>
    <t>https://www.bible.com/fr/audio-bible/152/JDG.16.S21</t>
  </si>
  <si>
    <t>https://www.bible.com/fr/audio-bible/152/MRK.11.S21</t>
  </si>
  <si>
    <t>https://www.bible.com/fr/audio-bible/152/JDG.19.S21</t>
  </si>
  <si>
    <t>https://www.bible.com/fr/audio-bible/152/MRK.12.S21</t>
  </si>
  <si>
    <t>https://www.bible.com/fr/audio-bible/152/JDG.21.S21</t>
  </si>
  <si>
    <t>https://www.bible.com/fr/audio-bible/152/MRK.8.S21</t>
  </si>
  <si>
    <t>https://www.bible.com/fr/audio-bible/152/LUK.24.S21</t>
  </si>
  <si>
    <t>https://www.bible.com/fr/audio-bible/152/RUT.3.S21</t>
  </si>
  <si>
    <t>https://www.bible.com/fr/audio-bible/152/1JN.4.S21</t>
  </si>
  <si>
    <t>https://www.bible.com/fr/audio-bible/152/1SA.1.S21</t>
  </si>
  <si>
    <t>https://www.bible.com/fr/audio-bible/152/2CO.7.S21</t>
  </si>
  <si>
    <t>https://www.bible.com/fr/audio-bible/152/1SA.4.S21</t>
  </si>
  <si>
    <t>https://www.bible.com/fr/audio-bible/152/2CO.6.S21</t>
  </si>
  <si>
    <t>https://www.bible.com/fr/audio-bible/152/1SA.6.S21</t>
  </si>
  <si>
    <t>https://www.bible.com/fr/audio-bible/152/MRK.13.S21</t>
  </si>
  <si>
    <t>https://www.bible.com/fr/audio-bible/152/1SA.9.S21</t>
  </si>
  <si>
    <t>https://www.bible.com/fr/audio-bible/152/1SA.11.S21</t>
  </si>
  <si>
    <t>https://www.bible.com/fr/audio-bible/152/1SA.14.S21</t>
  </si>
  <si>
    <t>https://www.bible.com/fr/audio-bible/152/1SA.16.S21</t>
  </si>
  <si>
    <t>https://www.bible.com/fr/audio-bible/152/LUK.3.S21</t>
  </si>
  <si>
    <t>https://www.bible.com/fr/audio-bible/152/1SA.19.S21</t>
  </si>
  <si>
    <t>https://www.bible.com/fr/audio-bible/152/LUK.4.S21</t>
  </si>
  <si>
    <t>https://www.bible.com/fr/audio-bible/152/1SA.22.S21</t>
  </si>
  <si>
    <t>https://www.bible.com/fr/audio-bible/152/MAT.12.S21</t>
  </si>
  <si>
    <t>https://www.bible.com/fr/audio-bible/152/1SA.24.S21</t>
  </si>
  <si>
    <t>https://www.bible.com/fr/audio-bible/152/MAT.10.S21</t>
  </si>
  <si>
    <t>https://www.bible.com/fr/audio-bible/152/1SA.27.S21</t>
  </si>
  <si>
    <t>https://www.bible.com/fr/audio-bible/152/1TH.2.S21</t>
  </si>
  <si>
    <t>https://www.bible.com/fr/audio-bible/152/1SA.29.S21</t>
  </si>
  <si>
    <t>https://www.bible.com/fr/audio-bible/152/1TH.1.S21</t>
  </si>
  <si>
    <t>https://www.bible.com/fr/audio-bible/152/2SA.1.S21</t>
  </si>
  <si>
    <t>https://www.bible.com/fr/audio-bible/152/MAT.2.S21</t>
  </si>
  <si>
    <t>https://www.bible.com/fr/audio-bible/152/2SA.3.S21</t>
  </si>
  <si>
    <t>https://www.bible.com/fr/audio-bible/152/2SA.6.S21</t>
  </si>
  <si>
    <t>https://www.bible.com/fr/audio-bible/152/LUK.2.S21</t>
  </si>
  <si>
    <t>https://www.bible.com/fr/audio-bible/152/2SA.8.S21</t>
  </si>
  <si>
    <t>https://www.bible.com/fr/audio-bible/152/2CO.8.S21</t>
  </si>
  <si>
    <t>https://www.bible.com/fr/audio-bible/152/2SA.11.S21</t>
  </si>
  <si>
    <t>https://www.bible.com/fr/audio-bible/152/ROM.7.S21</t>
  </si>
  <si>
    <t>https://www.bible.com/fr/audio-bible/152/2SA.13.S21</t>
  </si>
  <si>
    <t>https://www.bible.com/fr/audio-bible/152/1PE.4.S21</t>
  </si>
  <si>
    <t>https://www.bible.com/fr/audio-bible/152/2SA.16.S21</t>
  </si>
  <si>
    <t>https://www.bible.com/fr/audio-bible/152/ACT.7.S21</t>
  </si>
  <si>
    <t>https://www.bible.com/fr/audio-bible/152/2SA.19.S21</t>
  </si>
  <si>
    <t>https://www.bible.com/fr/audio-bible/152/ACT.6.S21</t>
  </si>
  <si>
    <t>https://www.bible.com/fr/audio-bible/152/2SA.21.S21</t>
  </si>
  <si>
    <t>https://www.bible.com/fr/audio-bible/152/LUK.22.S21</t>
  </si>
  <si>
    <t>https://www.bible.com/fr/audio-bible/152/2SA.24.S21</t>
  </si>
  <si>
    <t>https://www.bible.com/fr/audio-bible/152/MRK.15.S21</t>
  </si>
  <si>
    <t>https://www.bible.com/fr/audio-bible/152/1KI.2.S21</t>
  </si>
  <si>
    <t>https://www.bible.com/fr/audio-bible/152/1KI.5.S21</t>
  </si>
  <si>
    <t>https://www.bible.com/fr/audio-bible/152/JHN.2.S21</t>
  </si>
  <si>
    <t>https://www.bible.com/fr/audio-bible/152/1KI.7.S21</t>
  </si>
  <si>
    <t>https://www.bible.com/fr/audio-bible/152/LUK.19.S21</t>
  </si>
  <si>
    <t>https://www.bible.com/fr/audio-bible/152/1KI.10.S21</t>
  </si>
  <si>
    <t>https://www.bible.com/fr/audio-bible/152/1KI.12.S21</t>
  </si>
  <si>
    <t>https://www.bible.com/fr/audio-bible/152/2PE.3.S21</t>
  </si>
  <si>
    <t>https://www.bible.com/fr/audio-bible/152/1KI.15.S21</t>
  </si>
  <si>
    <t>https://www.bible.com/fr/audio-bible/152/1KI.17.S21</t>
  </si>
  <si>
    <t>https://www.bible.com/fr/audio-bible/152/1KI.20.S21</t>
  </si>
  <si>
    <t>https://www.bible.com/fr/audio-bible/152/2TH.2.S21</t>
  </si>
  <si>
    <t>https://www.bible.com/fr/audio-bible/152/2KI.1.S21</t>
  </si>
  <si>
    <t>https://www.bible.com/fr/audio-bible/152/MAT.8.S21</t>
  </si>
  <si>
    <t>https://www.bible.com/fr/audio-bible/152/2KI.3.S21</t>
  </si>
  <si>
    <t>https://www.bible.com/fr/audio-bible/152/MAT.9.S21</t>
  </si>
  <si>
    <t>https://www.bible.com/fr/audio-bible/152/2KI.6.S21</t>
  </si>
  <si>
    <t>https://www.bible.com/fr/audio-bible/152/MRK.5.S21</t>
  </si>
  <si>
    <t>https://www.bible.com/fr/audio-bible/152/2KI.8.S21</t>
  </si>
  <si>
    <t>https://www.bible.com/fr/audio-bible/152/LUK.5.S21</t>
  </si>
  <si>
    <t>https://www.bible.com/fr/audio-bible/152/2KI.11.S21</t>
  </si>
  <si>
    <t>https://www.bible.com/fr/audio-bible/152/2KI.13.S21</t>
  </si>
  <si>
    <t>https://www.bible.com/fr/audio-bible/152/2KI.16.S21</t>
  </si>
  <si>
    <t>https://www.bible.com/fr/audio-bible/152/2KI.18.S21</t>
  </si>
  <si>
    <t>https://www.bible.com/fr/audio-bible/152/LUK.18.S21</t>
  </si>
  <si>
    <t>https://www.bible.com/fr/audio-bible/152/2KI.21.S21</t>
  </si>
  <si>
    <t>https://www.bible.com/fr/audio-bible/152/MAT.13.S21</t>
  </si>
  <si>
    <t>https://www.bible.com/fr/audio-bible/152/2KI.23.S21</t>
  </si>
  <si>
    <t>https://www.bible.com/fr/audio-bible/152/1CH.1.S21</t>
  </si>
  <si>
    <t>https://www.bible.com/fr/audio-bible/152/1CO.16.S21</t>
  </si>
  <si>
    <t>https://www.bible.com/fr/audio-bible/152/1CH.4.S21</t>
  </si>
  <si>
    <t>https://www.bible.com/fr/audio-bible/152/1CH.6.S21</t>
  </si>
  <si>
    <t>https://www.bible.com/fr/audio-bible/152/1TH.5.S21</t>
  </si>
  <si>
    <t>https://www.bible.com/fr/audio-bible/152/1CH.9.S21</t>
  </si>
  <si>
    <t>https://www.bible.com/fr/audio-bible/152/1CO.11.S21</t>
  </si>
  <si>
    <t>https://www.bible.com/fr/audio-bible/152/1CH.11.S21</t>
  </si>
  <si>
    <t>https://www.bible.com/fr/audio-bible/152/1CH.14.S21</t>
  </si>
  <si>
    <t>https://www.bible.com/fr/audio-bible/152/1CH.16.S21</t>
  </si>
  <si>
    <t>https://www.bible.com/fr/audio-bible/152/JHN.12.S21</t>
  </si>
  <si>
    <t>https://www.bible.com/fr/audio-bible/152/1CH.19.S21</t>
  </si>
  <si>
    <t>https://www.bible.com/fr/audio-bible/152/MAT.11.S21</t>
  </si>
  <si>
    <t>https://www.bible.com/fr/audio-bible/152/1CH.21.S21</t>
  </si>
  <si>
    <t>https://www.bible.com/fr/audio-bible/152/LUK.20.S21</t>
  </si>
  <si>
    <t>https://www.bible.com/fr/audio-bible/152/1CH.24.S21</t>
  </si>
  <si>
    <t>https://www.bible.com/fr/audio-bible/152/1TI.5.S21</t>
  </si>
  <si>
    <t>https://www.bible.com/fr/audio-bible/152/1CO.3.S21</t>
  </si>
  <si>
    <t>https://www.bible.com/fr/audio-bible/152/1CH.26.S21</t>
  </si>
  <si>
    <t>https://www.bible.com/fr/audio-bible/152/1CO.4.S21</t>
  </si>
  <si>
    <t>https://www.bible.com/fr/audio-bible/152/1CH.29.S21</t>
  </si>
  <si>
    <t>https://www.bible.com/fr/audio-bible/152/2CH.3.S21</t>
  </si>
  <si>
    <t>https://www.bible.com/fr/audio-bible/152/2CH.5.S21</t>
  </si>
  <si>
    <t>https://www.bible.com/fr/audio-bible/152/2CH.8.S21</t>
  </si>
  <si>
    <t>https://www.bible.com/fr/audio-bible/152/2CH.10.S21</t>
  </si>
  <si>
    <t>https://www.bible.com/fr/audio-bible/152/2CH.13.S21</t>
  </si>
  <si>
    <t>https://www.bible.com/fr/audio-bible/152/2CH.15.S21</t>
  </si>
  <si>
    <t>https://www.bible.com/fr/audio-bible/152/2CH.18.S21</t>
  </si>
  <si>
    <t>https://www.bible.com/fr/audio-bible/152/2CH.20.S21</t>
  </si>
  <si>
    <t>https://www.bible.com/fr/audio-bible/152/ACT.20.S21</t>
  </si>
  <si>
    <t>https://www.bible.com/fr/audio-bible/152/2CH.23.S21</t>
  </si>
  <si>
    <t>https://www.bible.com/fr/audio-bible/152/2CH.25.S21</t>
  </si>
  <si>
    <t>https://www.bible.com/fr/audio-bible/152/2CH.28.S21</t>
  </si>
  <si>
    <t>https://www.bible.com/fr/audio-bible/152/JHN.18.S21</t>
  </si>
  <si>
    <t>https://www.bible.com/fr/audio-bible/152/2CH.31.S21</t>
  </si>
  <si>
    <t>https://www.bible.com/fr/audio-bible/152/JHN.19.S21</t>
  </si>
  <si>
    <t>https://www.bible.com/fr/audio-bible/152/2CH.33.S21</t>
  </si>
  <si>
    <t>https://www.bible.com/fr/audio-bible/152/ACT.3.S21</t>
  </si>
  <si>
    <t>https://www.bible.com/fr/audio-bible/152/2CH.36.S21</t>
  </si>
  <si>
    <t>https://www.bible.com/fr/audio-bible/152/MAT.21.S21</t>
  </si>
  <si>
    <t>https://www.bible.com/fr/audio-bible/152/EZR.2.S21</t>
  </si>
  <si>
    <t>https://www.bible.com/fr/audio-bible/152/EZR.5.S21</t>
  </si>
  <si>
    <t>https://www.bible.com/fr/audio-bible/152/EZR.7.S21</t>
  </si>
  <si>
    <t>https://www.bible.com/fr/audio-bible/152/2PE.1.S21</t>
  </si>
  <si>
    <t>https://www.bible.com/fr/audio-bible/152/NEH.1.S21</t>
  </si>
  <si>
    <t>https://www.bible.com/fr/audio-bible/152/NEH.2.S21</t>
  </si>
  <si>
    <t>https://www.bible.com/fr/audio-bible/152/NEH.5.S21</t>
  </si>
  <si>
    <t>https://www.bible.com/fr/audio-bible/152/TIT.1.S21</t>
  </si>
  <si>
    <t>https://www.bible.com/fr/audio-bible/152/NEH.7.S21</t>
  </si>
  <si>
    <t>https://www.bible.com/fr/audio-bible/152/1TI.4.S21</t>
  </si>
  <si>
    <t>https://www.bible.com/fr/audio-bible/152/NEH.10.S21</t>
  </si>
  <si>
    <t>https://www.bible.com/fr/audio-bible/152/COL.2.S21</t>
  </si>
  <si>
    <t>https://www.bible.com/fr/audio-bible/152/NEH.13.S21</t>
  </si>
  <si>
    <t>https://www.bible.com/fr/audio-bible/152/1JN.3.S21</t>
  </si>
  <si>
    <t>https://www.bible.com/fr/audio-bible/152/EST.2.S21</t>
  </si>
  <si>
    <t>https://www.bible.com/fr/audio-bible/152/ACT.11.S21</t>
  </si>
  <si>
    <t>https://www.bible.com/fr/audio-bible/152/ROM.8.S21</t>
  </si>
  <si>
    <t>https://www.bible.com/fr/audio-bible/152/EST.5.S21</t>
  </si>
  <si>
    <t>https://www.bible.com/fr/audio-bible/152/ACT.12.S21</t>
  </si>
  <si>
    <t>https://www.bible.com/fr/audio-bible/152/EST.7.S21</t>
  </si>
  <si>
    <t>https://www.bible.com/fr/audio-bible/152/EST.10.S21</t>
  </si>
  <si>
    <t>https://www.bible.com/fr/audio-bible/152/ACT.22.S21</t>
  </si>
  <si>
    <t>https://www.bible.com/fr/audio-bible/152/JOB.2.S21</t>
  </si>
  <si>
    <t>https://www.bible.com/fr/audio-bible/152/ACT.27.S21</t>
  </si>
  <si>
    <t>https://www.bible.com/fr/audio-bible/152/JOB.5.S21</t>
  </si>
  <si>
    <t>https://www.bible.com/fr/audio-bible/152/ACT.28.S21</t>
  </si>
  <si>
    <t>https://www.bible.com/fr/audio-bible/152/JOB.7.S21</t>
  </si>
  <si>
    <t>https://www.bible.com/fr/audio-bible/152/JOB.10.S21</t>
  </si>
  <si>
    <t>https://www.bible.com/fr/audio-bible/152/JOB.12.S21</t>
  </si>
  <si>
    <t>https://www.bible.com/fr/audio-bible/152/JOB.15.S21</t>
  </si>
  <si>
    <t>https://www.bible.com/fr/audio-bible/152/LUK.16.S21</t>
  </si>
  <si>
    <t>https://www.bible.com/fr/audio-bible/152/JOB.18.S21</t>
  </si>
  <si>
    <t>https://www.bible.com/fr/audio-bible/152/LUK.17.S21</t>
  </si>
  <si>
    <t>https://www.bible.com/fr/audio-bible/152/JOB.20.S21</t>
  </si>
  <si>
    <t>https://www.bible.com/fr/audio-bible/152/PHP.3.S21</t>
  </si>
  <si>
    <t>https://www.bible.com/fr/audio-bible/152/JOB.23.S21</t>
  </si>
  <si>
    <t>https://www.bible.com/fr/audio-bible/152/2CO.2.S21</t>
  </si>
  <si>
    <t>https://www.bible.com/fr/audio-bible/152/JOB.25.S21</t>
  </si>
  <si>
    <t>https://www.bible.com/fr/audio-bible/152/2CO.1.S21</t>
  </si>
  <si>
    <t>https://www.bible.com/fr/audio-bible/152/JOB.28.S21</t>
  </si>
  <si>
    <t>https://www.bible.com/fr/audio-bible/152/2TI.2.S21</t>
  </si>
  <si>
    <t>https://www.bible.com/fr/audio-bible/152/JOB.30.S21</t>
  </si>
  <si>
    <t>https://www.bible.com/fr/audio-bible/152/1PE.5.S21</t>
  </si>
  <si>
    <t>https://www.bible.com/fr/audio-bible/152/JOB.33.S21</t>
  </si>
  <si>
    <t>https://www.bible.com/fr/audio-bible/152/1CO.2.S21</t>
  </si>
  <si>
    <t>https://www.bible.com/fr/audio-bible/152/1CO.1.S21</t>
  </si>
  <si>
    <t>https://www.bible.com/fr/audio-bible/152/JOB.35.S21</t>
  </si>
  <si>
    <t>https://www.bible.com/fr/audio-bible/152/JOB.38.S21</t>
  </si>
  <si>
    <t>https://www.bible.com/fr/audio-bible/152/JOB.40.S21</t>
  </si>
  <si>
    <t>https://www.bible.com/fr/audio-bible/152/LUK.12.S21</t>
  </si>
  <si>
    <t>https://www.bible.com/fr/audio-bible/152/PSA.1.S21</t>
  </si>
  <si>
    <t>https://www.bible.com/fr/audio-bible/152/MRK.7.S21</t>
  </si>
  <si>
    <t>https://www.bible.com/fr/audio-bible/152/PSA.4.S21</t>
  </si>
  <si>
    <t>https://www.bible.com/fr/audio-bible/152/PSA.6.S21</t>
  </si>
  <si>
    <t>https://www.bible.com/fr/audio-bible/152/PSA.9.S21</t>
  </si>
  <si>
    <t>https://www.bible.com/fr/audio-bible/152/PSA.11.S21</t>
  </si>
  <si>
    <t>https://www.bible.com/fr/audio-bible/152/PSA.14.S21</t>
  </si>
  <si>
    <t>https://www.bible.com/fr/audio-bible/152/PSA.16.S21</t>
  </si>
  <si>
    <t>https://www.bible.com/fr/audio-bible/152/PHP.4.S21</t>
  </si>
  <si>
    <t>https://www.bible.com/fr/audio-bible/152/PSA.19.S21</t>
  </si>
  <si>
    <t>https://www.bible.com/fr/audio-bible/152/2CO.5.S21</t>
  </si>
  <si>
    <t>https://www.bible.com/fr/audio-bible/152/PSA.21.S21</t>
  </si>
  <si>
    <t>https://www.bible.com/fr/audio-bible/152/PSA.24.S21</t>
  </si>
  <si>
    <t>https://www.bible.com/fr/audio-bible/152/JHN.11.S21</t>
  </si>
  <si>
    <t>https://www.bible.com/fr/audio-bible/152/PSA.26.S21</t>
  </si>
  <si>
    <t>https://www.bible.com/fr/audio-bible/152/1JN.5.S21</t>
  </si>
  <si>
    <t>https://www.bible.com/fr/audio-bible/152/PSA.29.S21</t>
  </si>
  <si>
    <t>https://www.bible.com/fr/audio-bible/152/1TI.2.S21</t>
  </si>
  <si>
    <t>https://www.bible.com/fr/audio-bible/152/PSA.32.S21</t>
  </si>
  <si>
    <t>https://www.bible.com/fr/audio-bible/152/1TI.1.S21</t>
  </si>
  <si>
    <t>https://www.bible.com/fr/audio-bible/152/PSA.34.S21</t>
  </si>
  <si>
    <t>https://www.bible.com/fr/audio-bible/152/GAL.2.S21</t>
  </si>
  <si>
    <t>https://www.bible.com/fr/audio-bible/152/PSA.37.S21</t>
  </si>
  <si>
    <t>https://www.bible.com/fr/audio-bible/152/GAL.1.S21</t>
  </si>
  <si>
    <t>https://www.bible.com/fr/audio-bible/152/PSA.39.S21</t>
  </si>
  <si>
    <t>https://www.bible.com/fr/audio-bible/152/2CO.13.S21</t>
  </si>
  <si>
    <t>https://www.bible.com/fr/audio-bible/152/PSA.42.S21</t>
  </si>
  <si>
    <t>https://www.bible.com/fr/audio-bible/152/PSA.44.S21</t>
  </si>
  <si>
    <t>https://www.bible.com/fr/audio-bible/152/PSA.47.S21</t>
  </si>
  <si>
    <t>https://www.bible.com/fr/audio-bible/152/PSA.49.S21</t>
  </si>
  <si>
    <t>https://www.bible.com/fr/audio-bible/152/ROM.13.S21</t>
  </si>
  <si>
    <t>https://www.bible.com/fr/audio-bible/152/PSA.52.S21</t>
  </si>
  <si>
    <t>https://www.bible.com/fr/audio-bible/152/REV.17.S21</t>
  </si>
  <si>
    <t>https://www.bible.com/fr/audio-bible/152/PSA.54.S21</t>
  </si>
  <si>
    <t>https://www.bible.com/fr/audio-bible/152/REV.16.S21</t>
  </si>
  <si>
    <t>https://www.bible.com/fr/audio-bible/152/PSA.57.S21</t>
  </si>
  <si>
    <t>https://www.bible.com/fr/audio-bible/152/COL.4.S21</t>
  </si>
  <si>
    <t>https://www.bible.com/fr/audio-bible/152/PSA.60.S21</t>
  </si>
  <si>
    <t>https://www.bible.com/fr/audio-bible/152/JHN.4.S21</t>
  </si>
  <si>
    <t>https://www.bible.com/fr/audio-bible/152/PSA.62.S21</t>
  </si>
  <si>
    <t>https://www.bible.com/fr/audio-bible/152/ACT.8.S21</t>
  </si>
  <si>
    <t>https://www.bible.com/fr/audio-bible/152/PSA.65.S21</t>
  </si>
  <si>
    <t>https://www.bible.com/fr/audio-bible/152/ACT.9.S21</t>
  </si>
  <si>
    <t>https://www.bible.com/fr/audio-bible/152/PSA.67.S21</t>
  </si>
  <si>
    <t>https://www.bible.com/fr/audio-bible/152/ACT.10.S21</t>
  </si>
  <si>
    <t>https://www.bible.com/fr/audio-bible/152/PSA.70.S21</t>
  </si>
  <si>
    <t>https://www.bible.com/fr/audio-bible/152/REV.14.S21</t>
  </si>
  <si>
    <t>https://www.bible.com/fr/audio-bible/152/PSA.72.S21</t>
  </si>
  <si>
    <t>https://www.bible.com/fr/audio-bible/152/EPH.1.S21</t>
  </si>
  <si>
    <t>https://www.bible.com/fr/audio-bible/152/PSA.75.S21</t>
  </si>
  <si>
    <t>https://www.bible.com/fr/audio-bible/152/PSA.77.S21</t>
  </si>
  <si>
    <t>https://www.bible.com/fr/audio-bible/152/PSA.80.S21</t>
  </si>
  <si>
    <t>https://www.bible.com/fr/audio-bible/152/PSA.82.S21</t>
  </si>
  <si>
    <t>https://www.bible.com/fr/audio-bible/152/PSA.85.S21</t>
  </si>
  <si>
    <t>https://www.bible.com/fr/audio-bible/152/PSA.88.S21</t>
  </si>
  <si>
    <t>https://www.bible.com/fr/audio-bible/152/HEB.13.S21</t>
  </si>
  <si>
    <t>https://www.bible.com/fr/audio-bible/152/PSA.90.S21</t>
  </si>
  <si>
    <t>https://www.bible.com/fr/audio-bible/152/MAT.4.S21</t>
  </si>
  <si>
    <t>https://www.bible.com/fr/audio-bible/152/PSA.93.S21</t>
  </si>
  <si>
    <t>https://www.bible.com/fr/audio-bible/152/PSA.95.S21</t>
  </si>
  <si>
    <t>https://www.bible.com/fr/audio-bible/152/PSA.98.S21</t>
  </si>
  <si>
    <t>https://www.bible.com/fr/audio-bible/152/PSA.100.S21</t>
  </si>
  <si>
    <t>https://www.bible.com/fr/audio-bible/152/PSA.103.S21</t>
  </si>
  <si>
    <t>https://www.bible.com/fr/audio-bible/152/PSA.105.S21</t>
  </si>
  <si>
    <t>https://www.bible.com/fr/audio-bible/152/REV.1.S21</t>
  </si>
  <si>
    <t>https://www.bible.com/fr/audio-bible/152/PSA.108.S21</t>
  </si>
  <si>
    <t>https://www.bible.com/fr/audio-bible/152/REV.13.S21</t>
  </si>
  <si>
    <t>https://www.bible.com/fr/audio-bible/152/PSA.110.S21</t>
  </si>
  <si>
    <t>https://www.bible.com/fr/audio-bible/152/HEB.6.S21</t>
  </si>
  <si>
    <t>https://www.bible.com/fr/audio-bible/152/PSA.113.S21</t>
  </si>
  <si>
    <t>https://www.bible.com/fr/audio-bible/152/REV.12.S21</t>
  </si>
  <si>
    <t>https://www.bible.com/fr/audio-bible/152/PSA.116.S21</t>
  </si>
  <si>
    <t>https://www.bible.com/fr/audio-bible/152/REV.3.S21</t>
  </si>
  <si>
    <t>https://www.bible.com/fr/audio-bible/152/PSA.118.S21</t>
  </si>
  <si>
    <t>https://www.bible.com/fr/audio-bible/152/PHP.2.S21</t>
  </si>
  <si>
    <t>https://www.bible.com/fr/audio-bible/152/PSA.121.S21</t>
  </si>
  <si>
    <t>https://www.bible.com/fr/audio-bible/152/PSA.123.S21</t>
  </si>
  <si>
    <t>https://www.bible.com/fr/audio-bible/152/PSA.126.S21</t>
  </si>
  <si>
    <t>https://www.bible.com/fr/audio-bible/152/PSA.128.S21</t>
  </si>
  <si>
    <t>https://www.bible.com/fr/audio-bible/152/PSA.131.S21</t>
  </si>
  <si>
    <t>https://www.bible.com/fr/audio-bible/152/PSA.133.S21</t>
  </si>
  <si>
    <t>https://www.bible.com/fr/audio-bible/152/REV.22.S21</t>
  </si>
  <si>
    <t>https://www.bible.com/fr/audio-bible/152/PSA.136.S21</t>
  </si>
  <si>
    <t>https://www.bible.com/fr/audio-bible/152/1CO.15.S21</t>
  </si>
  <si>
    <t>https://www.bible.com/fr/audio-bible/152/REV.19.S21</t>
  </si>
  <si>
    <t>https://www.bible.com/fr/audio-bible/152/PSA.138.S21</t>
  </si>
  <si>
    <t>https://www.bible.com/fr/audio-bible/152/PSA.141.S21</t>
  </si>
  <si>
    <t>https://www.bible.com/fr/audio-bible/152/REV.20.S21</t>
  </si>
  <si>
    <t>https://www.bible.com/fr/audio-bible/152/PSA.144.S21</t>
  </si>
  <si>
    <t>https://www.bible.com/fr/audio-bible/152/PSA.146.S21</t>
  </si>
  <si>
    <t>https://www.bible.com/fr/audio-bible/152/REV.5.S21</t>
  </si>
  <si>
    <t>https://www.bible.com/fr/audio-bible/152/PSA.149.S21</t>
  </si>
  <si>
    <t>https://www.bible.com/fr/audio-bible/152/REV.4.S21</t>
  </si>
  <si>
    <t>https://www.bible.com/fr/audio-bible/152/PRO.1.S21</t>
  </si>
  <si>
    <t>https://www.bible.com/fr/audio-bible/152/EPH.6.S21</t>
  </si>
  <si>
    <t>https://www.bible.com/fr/audio-bible/152/PRO.4.S21</t>
  </si>
  <si>
    <t>https://www.bible.com/fr/audio-bible/152/PRO.6.S21</t>
  </si>
  <si>
    <t>https://www.bible.com/fr/audio-bible/152/PRO.9.S21</t>
  </si>
  <si>
    <t>https://www.bible.com/fr/audio-bible/152/JAS.1.S21</t>
  </si>
  <si>
    <t>https://www.bible.com/fr/audio-bible/152/PRO.11.S21</t>
  </si>
  <si>
    <t>https://www.bible.com/fr/audio-bible/152/PRO.14.S21</t>
  </si>
  <si>
    <t>https://www.bible.com/fr/audio-bible/152/PRO.16.S21</t>
  </si>
  <si>
    <t>https://www.bible.com/fr/audio-bible/152/PRO.19.S21</t>
  </si>
  <si>
    <t>https://www.bible.com/fr/audio-bible/152/PRO.22.S21</t>
  </si>
  <si>
    <t>https://www.bible.com/fr/audio-bible/152/JAS.3.S21</t>
  </si>
  <si>
    <t>https://www.bible.com/fr/audio-bible/152/PRO.24.S21</t>
  </si>
  <si>
    <t>https://www.bible.com/fr/audio-bible/152/PRO.27.S21</t>
  </si>
  <si>
    <t>https://www.bible.com/fr/audio-bible/152/PRO.29.S21</t>
  </si>
  <si>
    <t>https://www.bible.com/fr/audio-bible/152/1TI.6.S21</t>
  </si>
  <si>
    <t>https://www.bible.com/fr/audio-bible/152/ECC.1.S21</t>
  </si>
  <si>
    <t>https://www.bible.com/fr/audio-bible/152/ECC.3.S21</t>
  </si>
  <si>
    <t>https://www.bible.com/fr/audio-bible/152/ECC.6.S21</t>
  </si>
  <si>
    <t>https://www.bible.com/fr/audio-bible/152/2TH.3.S21</t>
  </si>
  <si>
    <t>https://www.bible.com/fr/audio-bible/152/ECC.8.S21</t>
  </si>
  <si>
    <t>https://www.bible.com/fr/audio-bible/152/ECC.11.S21</t>
  </si>
  <si>
    <t>https://www.bible.com/fr/audio-bible/152/SNG.1.S21</t>
  </si>
  <si>
    <t>https://www.bible.com/fr/audio-bible/152/EPH.5.S21</t>
  </si>
  <si>
    <t>https://www.bible.com/fr/audio-bible/152/SNG.4.S21</t>
  </si>
  <si>
    <t>https://www.bible.com/fr/audio-bible/152/JHN.13.S21</t>
  </si>
  <si>
    <t>https://www.bible.com/fr/audio-bible/152/SNG.7.S21</t>
  </si>
  <si>
    <t>https://www.bible.com/fr/audio-bible/152/JHN.14.S21</t>
  </si>
  <si>
    <t>https://www.bible.com/fr/audio-bible/152/ISA.1.S21</t>
  </si>
  <si>
    <t>https://www.bible.com/fr/audio-bible/152/COL.1.S21</t>
  </si>
  <si>
    <t>https://www.bible.com/fr/audio-bible/152/ISA.4.S21</t>
  </si>
  <si>
    <t>https://www.bible.com/fr/audio-bible/152/1JN.2.S21</t>
  </si>
  <si>
    <t>https://www.bible.com/fr/audio-bible/152/ISA.6.S21</t>
  </si>
  <si>
    <t>https://www.bible.com/fr/audio-bible/152/HEB.2.S21</t>
  </si>
  <si>
    <t>https://www.bible.com/fr/audio-bible/152/ISA.9.S21</t>
  </si>
  <si>
    <t>https://www.bible.com/fr/audio-bible/152/HEB.1.S21</t>
  </si>
  <si>
    <t>https://www.bible.com/fr/audio-bible/152/ISA.11.S21</t>
  </si>
  <si>
    <t>https://www.bible.com/fr/audio-bible/152/MAT.16.S21</t>
  </si>
  <si>
    <t>https://www.bible.com/fr/audio-bible/152/ISA.14.S21</t>
  </si>
  <si>
    <t>https://www.bible.com/fr/audio-bible/152/ACT.1.S21</t>
  </si>
  <si>
    <t>https://www.bible.com/fr/audio-bible/152/REV.11.S21</t>
  </si>
  <si>
    <t>https://www.bible.com/fr/audio-bible/152/ISA.16.S21</t>
  </si>
  <si>
    <t>https://www.bible.com/fr/audio-bible/152/ACT.17.S21</t>
  </si>
  <si>
    <t>https://www.bible.com/fr/audio-bible/152/ISA.19.S21</t>
  </si>
  <si>
    <t>https://www.bible.com/fr/audio-bible/152/ACT.18.S21</t>
  </si>
  <si>
    <t>https://www.bible.com/fr/audio-bible/152/ISA.21.S21</t>
  </si>
  <si>
    <t>https://www.bible.com/fr/audio-bible/152/ROM.14.S21</t>
  </si>
  <si>
    <t>https://www.bible.com/fr/audio-bible/152/ISA.24.S21</t>
  </si>
  <si>
    <t>https://www.bible.com/fr/audio-bible/152/JHN.5.S21</t>
  </si>
  <si>
    <t>https://www.bible.com/fr/audio-bible/152/ISA.27.S21</t>
  </si>
  <si>
    <t>https://www.bible.com/fr/audio-bible/152/JHN.20.S21</t>
  </si>
  <si>
    <t>https://www.bible.com/fr/audio-bible/152/ISA.29.S21</t>
  </si>
  <si>
    <t>https://www.bible.com/fr/audio-bible/152/2TI.3.S21</t>
  </si>
  <si>
    <t>https://www.bible.com/fr/audio-bible/152/ISA.32.S21</t>
  </si>
  <si>
    <t>https://www.bible.com/fr/audio-bible/152/JUD.1.S21</t>
  </si>
  <si>
    <t>https://www.bible.com/fr/audio-bible/152/ISA.34.S21</t>
  </si>
  <si>
    <t>https://www.bible.com/fr/audio-bible/152/2TI.4.S21</t>
  </si>
  <si>
    <t>https://www.bible.com/fr/audio-bible/152/ISA.37.S21</t>
  </si>
  <si>
    <t>https://www.bible.com/fr/audio-bible/152/ISA.39.S21</t>
  </si>
  <si>
    <t>https://www.bible.com/fr/audio-bible/152/2CO.4.S21</t>
  </si>
  <si>
    <t>https://www.bible.com/fr/audio-bible/152/ISA.42.S21</t>
  </si>
  <si>
    <t>https://www.bible.com/fr/audio-bible/152/ISA.44.S21</t>
  </si>
  <si>
    <t>https://www.bible.com/fr/audio-bible/152/ISA.47.S21</t>
  </si>
  <si>
    <t>https://www.bible.com/fr/audio-bible/152/ROM.6.S21</t>
  </si>
  <si>
    <t>https://www.bible.com/fr/audio-bible/152/ISA.49.S21</t>
  </si>
  <si>
    <t>https://www.bible.com/fr/audio-bible/152/ISA.52.S21</t>
  </si>
  <si>
    <t>https://www.bible.com/fr/audio-bible/152/MAT.26.S21</t>
  </si>
  <si>
    <t>https://www.bible.com/fr/audio-bible/152/ISA.55.S21</t>
  </si>
  <si>
    <t>https://www.bible.com/fr/audio-bible/152/JHN.7.S21</t>
  </si>
  <si>
    <t>https://www.bible.com/fr/audio-bible/152/ACT.2.S21</t>
  </si>
  <si>
    <t>https://www.bible.com/fr/audio-bible/152/ISA.57.S21</t>
  </si>
  <si>
    <t>https://www.bible.com/fr/audio-bible/152/JHN.8.S21</t>
  </si>
  <si>
    <t>https://www.bible.com/fr/audio-bible/152/ISA.60.S21</t>
  </si>
  <si>
    <t>https://www.bible.com/fr/audio-bible/152/1CO.12.S21</t>
  </si>
  <si>
    <t>https://www.bible.com/fr/audio-bible/152/ISA.62.S21</t>
  </si>
  <si>
    <t>https://www.bible.com/fr/audio-bible/152/1CO.13.S21</t>
  </si>
  <si>
    <t>https://www.bible.com/fr/audio-bible/152/ISA.65.S21</t>
  </si>
  <si>
    <t>https://www.bible.com/fr/audio-bible/152/1CO.14.S21</t>
  </si>
  <si>
    <t>https://www.bible.com/fr/audio-bible/152/JER.1.S21</t>
  </si>
  <si>
    <t>https://www.bible.com/fr/audio-bible/152/JER.4.S21</t>
  </si>
  <si>
    <t>https://www.bible.com/fr/audio-bible/152/JER.6.S21</t>
  </si>
  <si>
    <t>https://www.bible.com/fr/audio-bible/152/JER.9.S21</t>
  </si>
  <si>
    <t>https://www.bible.com/fr/audio-bible/152/JER.11.S21</t>
  </si>
  <si>
    <t>https://www.bible.com/fr/audio-bible/152/PHP.1.S21</t>
  </si>
  <si>
    <t>https://www.bible.com/fr/audio-bible/152/JER.14.S21</t>
  </si>
  <si>
    <t>https://www.bible.com/fr/audio-bible/152/2TI.1.S21</t>
  </si>
  <si>
    <t>https://www.bible.com/fr/audio-bible/152/JER.17.S21</t>
  </si>
  <si>
    <t>https://www.bible.com/fr/audio-bible/152/1PE.3.S21</t>
  </si>
  <si>
    <t>https://www.bible.com/fr/audio-bible/152/JER.19.S21</t>
  </si>
  <si>
    <t>https://www.bible.com/fr/audio-bible/152/ACT.25.S21</t>
  </si>
  <si>
    <t>https://www.bible.com/fr/audio-bible/152/JER.22.S21</t>
  </si>
  <si>
    <t>https://www.bible.com/fr/audio-bible/152/JER.24.S21</t>
  </si>
  <si>
    <t>https://www.bible.com/fr/audio-bible/152/JER.27.S21</t>
  </si>
  <si>
    <t>https://www.bible.com/fr/audio-bible/152/JER.29.S21</t>
  </si>
  <si>
    <t>https://www.bible.com/fr/audio-bible/152/2CO.3.S21</t>
  </si>
  <si>
    <t>https://www.bible.com/fr/audio-bible/152/JER.32.S21</t>
  </si>
  <si>
    <t>https://www.bible.com/fr/audio-bible/152/ACT.4.S21</t>
  </si>
  <si>
    <t>https://www.bible.com/fr/audio-bible/152/JER.34.S21</t>
  </si>
  <si>
    <t>https://www.bible.com/fr/audio-bible/152/JER.37.S21</t>
  </si>
  <si>
    <t>https://www.bible.com/fr/audio-bible/152/JER.39.S21</t>
  </si>
  <si>
    <t>https://www.bible.com/fr/audio-bible/152/JER.42.S21</t>
  </si>
  <si>
    <t>https://www.bible.com/fr/audio-bible/152/2JN.1.S21</t>
  </si>
  <si>
    <t>https://www.bible.com/fr/audio-bible/152/JER.45.S21</t>
  </si>
  <si>
    <t>https://www.bible.com/fr/audio-bible/152/ROM.15.S21</t>
  </si>
  <si>
    <t>https://www.bible.com/fr/audio-bible/152/JER.47.S21</t>
  </si>
  <si>
    <t>https://www.bible.com/fr/audio-bible/152/ROM.16.S21</t>
  </si>
  <si>
    <t>https://www.bible.com/fr/audio-bible/152/JER.50.S21</t>
  </si>
  <si>
    <t>https://www.bible.com/fr/audio-bible/152/LAM.1.S21</t>
  </si>
  <si>
    <t>https://www.bible.com/fr/audio-bible/152/LAM.3.S21</t>
  </si>
  <si>
    <t>https://www.bible.com/fr/audio-bible/152/2TH.1.S21</t>
  </si>
  <si>
    <t>https://www.bible.com/fr/audio-bible/152/LAM.5.S21</t>
  </si>
  <si>
    <t>https://www.bible.com/fr/audio-bible/152/EZK.3.S21</t>
  </si>
  <si>
    <t>https://www.bible.com/fr/audio-bible/152/EZK.5.S21</t>
  </si>
  <si>
    <t>https://www.bible.com/fr/audio-bible/152/EZK.8.S21</t>
  </si>
  <si>
    <t>https://www.bible.com/fr/audio-bible/152/EZK.10.S21</t>
  </si>
  <si>
    <t>https://www.bible.com/fr/audio-bible/152/JAS.4.S21</t>
  </si>
  <si>
    <t>https://www.bible.com/fr/audio-bible/152/EZK.13.S21</t>
  </si>
  <si>
    <t>https://www.bible.com/fr/audio-bible/152/2PE.2.S21</t>
  </si>
  <si>
    <t>https://www.bible.com/fr/audio-bible/152/EZK.16.S21</t>
  </si>
  <si>
    <t>https://www.bible.com/fr/audio-bible/152/EZK.18.S21</t>
  </si>
  <si>
    <t>https://www.bible.com/fr/audio-bible/152/EZK.21.S21</t>
  </si>
  <si>
    <t>https://www.bible.com/fr/audio-bible/152/1JN.1.S21</t>
  </si>
  <si>
    <t>https://www.bible.com/fr/audio-bible/152/EZK.23.S21</t>
  </si>
  <si>
    <t>https://www.bible.com/fr/audio-bible/152/EZK.26.S21</t>
  </si>
  <si>
    <t>https://www.bible.com/fr/audio-bible/152/EZK.28.S21</t>
  </si>
  <si>
    <t>https://www.bible.com/fr/audio-bible/152/REV.7.S21</t>
  </si>
  <si>
    <t>https://www.bible.com/fr/audio-bible/152/EZK.31.S21</t>
  </si>
  <si>
    <t>https://www.bible.com/fr/audio-bible/152/REV.6.S21</t>
  </si>
  <si>
    <t>https://www.bible.com/fr/audio-bible/152/EZK.33.S21</t>
  </si>
  <si>
    <t>https://www.bible.com/fr/audio-bible/152/JHN.9.S21</t>
  </si>
  <si>
    <t>https://www.bible.com/fr/audio-bible/152/JHN.10.S21</t>
  </si>
  <si>
    <t>https://www.bible.com/fr/audio-bible/152/EZK.36.S21</t>
  </si>
  <si>
    <t>https://www.bible.com/fr/audio-bible/152/JHN.3.S21</t>
  </si>
  <si>
    <t>https://www.bible.com/fr/audio-bible/152/EZK.38.S21</t>
  </si>
  <si>
    <t>https://www.bible.com/fr/audio-bible/152/REV.21.S21</t>
  </si>
  <si>
    <t>https://www.bible.com/fr/audio-bible/152/EZK.41.S21</t>
  </si>
  <si>
    <t>https://www.bible.com/fr/audio-bible/152/3JN.1.S21</t>
  </si>
  <si>
    <t>https://www.bible.com/fr/audio-bible/152/EZK.44.S21</t>
  </si>
  <si>
    <t>https://www.bible.com/fr/audio-bible/152/EZK.46.S21</t>
  </si>
  <si>
    <t>https://www.bible.com/fr/audio-bible/152/TIT.2.S21</t>
  </si>
  <si>
    <t>https://www.bible.com/fr/audio-bible/152/DAN.1.S21</t>
  </si>
  <si>
    <t>https://www.bible.com/fr/audio-bible/152/DAN.3.S21</t>
  </si>
  <si>
    <t>https://www.bible.com/fr/audio-bible/152/ACT.21.S21</t>
  </si>
  <si>
    <t>https://www.bible.com/fr/audio-bible/152/DAN.6.S21</t>
  </si>
  <si>
    <t>https://www.bible.com/fr/audio-bible/152/MAT.17.S21</t>
  </si>
  <si>
    <t>https://www.bible.com/fr/audio-bible/152/DAN.8.S21</t>
  </si>
  <si>
    <t>https://www.bible.com/fr/audio-bible/152/MRK.1.S21</t>
  </si>
  <si>
    <t>https://www.bible.com/fr/audio-bible/152/DAN.11.S21</t>
  </si>
  <si>
    <t>https://www.bible.com/fr/audio-bible/152/MRK.2.S21</t>
  </si>
  <si>
    <t>https://www.bible.com/fr/audio-bible/152/HOS.1.S21</t>
  </si>
  <si>
    <t>https://www.bible.com/fr/audio-bible/152/JHN.15.S21</t>
  </si>
  <si>
    <t>https://www.bible.com/fr/audio-bible/152/HOS.4.S21</t>
  </si>
  <si>
    <t>https://www.bible.com/fr/audio-bible/152/ROM.11.S21</t>
  </si>
  <si>
    <t>https://www.bible.com/fr/audio-bible/152/HOS.6.S21</t>
  </si>
  <si>
    <t>https://www.bible.com/fr/audio-bible/152/TIT.3.S21</t>
  </si>
  <si>
    <t>https://www.bible.com/fr/audio-bible/152/HOS.9.S21</t>
  </si>
  <si>
    <t>https://www.bible.com/fr/audio-bible/152/2CO.9.S21</t>
  </si>
  <si>
    <t>https://www.bible.com/fr/audio-bible/152/HOS.12.S21</t>
  </si>
  <si>
    <t>https://www.bible.com/fr/audio-bible/152/HOS.14.S21</t>
  </si>
  <si>
    <t>https://www.bible.com/fr/audio-bible/152/JHN.16.S21</t>
  </si>
  <si>
    <t>https://www.bible.com/fr/audio-bible/152/JOL.3.S21</t>
  </si>
  <si>
    <t>https://www.bible.com/fr/audio-bible/152/JHN.17.S21</t>
  </si>
  <si>
    <t>https://www.bible.com/fr/audio-bible/152/AMO.2.S21</t>
  </si>
  <si>
    <t>https://www.bible.com/fr/audio-bible/152/REV.8.S21</t>
  </si>
  <si>
    <t>https://www.bible.com/fr/audio-bible/152/AMO.5.S21</t>
  </si>
  <si>
    <t>https://www.bible.com/fr/audio-bible/152/REV.9.S21</t>
  </si>
  <si>
    <t>https://www.bible.com/fr/audio-bible/152/AMO.7.S21</t>
  </si>
  <si>
    <t>https://www.bible.com/fr/audio-bible/152/REV.10.S21</t>
  </si>
  <si>
    <t>https://www.bible.com/fr/audio-bible/152/OBA.1.S21</t>
  </si>
  <si>
    <t>https://www.bible.com/fr/audio-bible/152/MAT.28.S21</t>
  </si>
  <si>
    <t>https://www.bible.com/fr/audio-bible/152/JON.2.S21</t>
  </si>
  <si>
    <t>https://www.bible.com/fr/audio-bible/152/MIC.1.S21</t>
  </si>
  <si>
    <t>https://www.bible.com/fr/audio-bible/152/MIC.3.S21</t>
  </si>
  <si>
    <t>https://www.bible.com/fr/audio-bible/152/MRK.3.S21</t>
  </si>
  <si>
    <t>https://www.bible.com/fr/audio-bible/152/MIC.6.S21</t>
  </si>
  <si>
    <t>https://www.bible.com/fr/audio-bible/152/ROM.3.S21</t>
  </si>
  <si>
    <t>https://www.bible.com/fr/audio-bible/152/NAM.2.S21</t>
  </si>
  <si>
    <t>https://www.bible.com/fr/audio-bible/152/REV.15.S21</t>
  </si>
  <si>
    <t>https://www.bible.com/fr/audio-bible/152/HAB.1.S21</t>
  </si>
  <si>
    <t>https://www.bible.com/fr/audio-bible/152/JAS.5.S21</t>
  </si>
  <si>
    <t>https://www.bible.com/fr/audio-bible/152/ZEP.1.S21</t>
  </si>
  <si>
    <t>https://www.bible.com/fr/audio-bible/152/LUK.15.S21</t>
  </si>
  <si>
    <t>https://www.bible.com/fr/audio-bible/152/ZEP.3.S21</t>
  </si>
  <si>
    <t>https://www.bible.com/fr/audio-bible/152/MAT.22.S21</t>
  </si>
  <si>
    <t>https://www.bible.com/fr/audio-bible/152/ZEC.1.S21</t>
  </si>
  <si>
    <t>https://www.bible.com/fr/audio-bible/152/ZEC.3.S21</t>
  </si>
  <si>
    <t>https://www.bible.com/fr/audio-bible/152/REV.2.S21</t>
  </si>
  <si>
    <t>https://www.bible.com/fr/audio-bible/152/ZEC.6.S21</t>
  </si>
  <si>
    <t>https://www.bible.com/fr/audio-bible/152/LUK.21.S21</t>
  </si>
  <si>
    <t>https://www.bible.com/fr/audio-bible/152/ZEC.8.S21</t>
  </si>
  <si>
    <t>https://www.bible.com/fr/audio-bible/152/ZEC.11.S21</t>
  </si>
  <si>
    <t>https://www.bible.com/fr/audio-bible/152/JHN.21.S21</t>
  </si>
  <si>
    <t>https://www.bible.com/fr/audio-bible/152/ZEC.13.S21</t>
  </si>
  <si>
    <t>https://www.bible.com/fr/audio-bible/152/ACT.19.S21</t>
  </si>
  <si>
    <t>https://www.bible.com/fr/audio-bible/152/MAL.2.S21</t>
  </si>
  <si>
    <t>https://www.bible.com/fr/audio-bible/152/HEB.5.S21</t>
  </si>
  <si>
    <t>Source</t>
  </si>
  <si>
    <t>Version</t>
  </si>
  <si>
    <t>Adresse</t>
  </si>
  <si>
    <t>Utilisation dans le plan</t>
  </si>
  <si>
    <t>YouVersion / Bible App</t>
  </si>
  <si>
    <t>Segond 21 (S21)</t>
  </si>
  <si>
    <t>https://www.bible.com/fr/audio-bible-app-versions/152-s21-la-bible-segond-21</t>
  </si>
  <si>
    <t>Source principale : audio complet de l'Ancien et du Nouveau Testament, chapitre par chapitre.</t>
  </si>
  <si>
    <t>BibleAudio</t>
  </si>
  <si>
    <t>Louis Segond 1910</t>
  </si>
  <si>
    <t>https://bibleaudio.org/ecouter/louis-segond/</t>
  </si>
  <si>
    <t>Alternative gratuite en Louis Segond 1910 ; navigation par livres/listes de lecture.</t>
  </si>
  <si>
    <t>Comment utiliser les liens audio</t>
  </si>
  <si>
    <t>Dans « Plan annuel », cliquer sur ▶ Écouter AT pour ouvrir le premier chapitre AT du jour.</t>
  </si>
  <si>
    <t>Quand plusieurs chapitres sont prévus, utiliser « chapitre suivant » dans YouVersion jusqu'à la fin de la référence du jour.</t>
  </si>
  <si>
    <t>Cliquer ensuite sur ▶ Écouter NT. Pour un passage limité à quelques versets, l'audio ouvre le chapitre entier : arrêter à la référence indiquée si souhaité.</t>
  </si>
  <si>
    <t>Si un passage miroir est indiqué, le bouton bleu ▶ Écouter miroir ouvre le chapitre correspondant.</t>
  </si>
  <si>
    <t>Les liens principaux utilisent Segond 21 car l'audio YouVersion couvre toute la Bible dans cette version.</t>
  </si>
  <si>
    <t>LA BIBLE EN UN AN — LECTURE DU JOUR</t>
  </si>
  <si>
    <t>Choisir le jour :</t>
  </si>
  <si>
    <t>ANCIEN TESTAMENT</t>
  </si>
  <si>
    <t>NOUVEAU TESTAMENT</t>
  </si>
  <si>
    <t>PASSAGE MIROIR</t>
  </si>
  <si>
    <t>LIEN THÉOLOGIQUE</t>
  </si>
  <si>
    <t>Suivi :</t>
  </si>
  <si>
    <t>Sur iPhone : si les boutons de cette feuille ne s’ouvrent pas, utilisez la feuille « Liens mobile » (URL directes) ou la page HTML mobile fournie séparément.</t>
  </si>
  <si>
    <t>Lecture</t>
  </si>
  <si>
    <t>Référence</t>
  </si>
  <si>
    <t>Chapitre audio</t>
  </si>
  <si>
    <t>URL directe</t>
  </si>
  <si>
    <t>Conseil</t>
  </si>
  <si>
    <t>AT</t>
  </si>
  <si>
    <t>Genèse 1</t>
  </si>
  <si>
    <t>Touchez ou copiez l’URL dans Safari</t>
  </si>
  <si>
    <t>Genèse 2</t>
  </si>
  <si>
    <t>https://www.bible.com/fr/audio-bible/152/GEN.2.S21</t>
  </si>
  <si>
    <t>NT</t>
  </si>
  <si>
    <t>Genèse 3</t>
  </si>
  <si>
    <t>Genèse 4</t>
  </si>
  <si>
    <t>https://www.bible.com/fr/audio-bible/152/GEN.4.S21</t>
  </si>
  <si>
    <t>Genèse 5</t>
  </si>
  <si>
    <t>https://www.bible.com/fr/audio-bible/152/GEN.5.S21</t>
  </si>
  <si>
    <t>Miroir</t>
  </si>
  <si>
    <t>Genèse 6</t>
  </si>
  <si>
    <t>Genèse 7</t>
  </si>
  <si>
    <t>https://www.bible.com/fr/audio-bible/152/GEN.7.S21</t>
  </si>
  <si>
    <t>Genèse 8</t>
  </si>
  <si>
    <t>Genèse 9</t>
  </si>
  <si>
    <t>https://www.bible.com/fr/audio-bible/152/GEN.9.S21</t>
  </si>
  <si>
    <t>Genèse 10</t>
  </si>
  <si>
    <t>https://www.bible.com/fr/audio-bible/152/GEN.10.S21</t>
  </si>
  <si>
    <t>Genèse 11</t>
  </si>
  <si>
    <t>Genèse 12</t>
  </si>
  <si>
    <t>https://www.bible.com/fr/audio-bible/152/GEN.12.S21</t>
  </si>
  <si>
    <t>Genèse 13</t>
  </si>
  <si>
    <t>Genèse 14</t>
  </si>
  <si>
    <t>https://www.bible.com/fr/audio-bible/152/GEN.14.S21</t>
  </si>
  <si>
    <t>Genèse 15</t>
  </si>
  <si>
    <t>https://www.bible.com/fr/audio-bible/152/GEN.15.S21</t>
  </si>
  <si>
    <t>Genèse 16</t>
  </si>
  <si>
    <t>Genèse 17</t>
  </si>
  <si>
    <t>https://www.bible.com/fr/audio-bible/152/GEN.17.S21</t>
  </si>
  <si>
    <t>Genèse 18</t>
  </si>
  <si>
    <t>Genèse 19</t>
  </si>
  <si>
    <t>https://www.bible.com/fr/audio-bible/152/GEN.19.S21</t>
  </si>
  <si>
    <t>Genèse 20</t>
  </si>
  <si>
    <t>https://www.bible.com/fr/audio-bible/152/GEN.20.S21</t>
  </si>
  <si>
    <t>Genèse 21</t>
  </si>
  <si>
    <t>Genèse 22</t>
  </si>
  <si>
    <t>https://www.bible.com/fr/audio-bible/152/GEN.22.S21</t>
  </si>
  <si>
    <t>Genèse 23</t>
  </si>
  <si>
    <t>Genèse 24</t>
  </si>
  <si>
    <t>https://www.bible.com/fr/audio-bible/152/GEN.24.S21</t>
  </si>
  <si>
    <t>Genèse 25</t>
  </si>
  <si>
    <t>https://www.bible.com/fr/audio-bible/152/GEN.25.S21</t>
  </si>
  <si>
    <t>Genèse 26</t>
  </si>
  <si>
    <t>Genèse 27</t>
  </si>
  <si>
    <t>https://www.bible.com/fr/audio-bible/152/GEN.27.S21</t>
  </si>
  <si>
    <t>Genèse 28</t>
  </si>
  <si>
    <t>Genèse 29</t>
  </si>
  <si>
    <t>https://www.bible.com/fr/audio-bible/152/GEN.29.S21</t>
  </si>
  <si>
    <t>Genèse 30</t>
  </si>
  <si>
    <t>https://www.bible.com/fr/audio-bible/152/GEN.30.S21</t>
  </si>
  <si>
    <t>Genèse 31</t>
  </si>
  <si>
    <t>Genèse 32</t>
  </si>
  <si>
    <t>https://www.bible.com/fr/audio-bible/152/GEN.32.S21</t>
  </si>
  <si>
    <t>Genèse 33</t>
  </si>
  <si>
    <t>https://www.bible.com/fr/audio-bible/152/GEN.33.S21</t>
  </si>
  <si>
    <t>Genèse 34</t>
  </si>
  <si>
    <t>Genèse 35</t>
  </si>
  <si>
    <t>https://www.bible.com/fr/audio-bible/152/GEN.35.S21</t>
  </si>
  <si>
    <t>Genèse 36</t>
  </si>
  <si>
    <t>Genèse 37</t>
  </si>
  <si>
    <t>https://www.bible.com/fr/audio-bible/152/GEN.37.S21</t>
  </si>
  <si>
    <t>Genèse 38</t>
  </si>
  <si>
    <t>https://www.bible.com/fr/audio-bible/152/GEN.38.S21</t>
  </si>
  <si>
    <t>Genèse 39</t>
  </si>
  <si>
    <t>Genèse 40</t>
  </si>
  <si>
    <t>https://www.bible.com/fr/audio-bible/152/GEN.40.S21</t>
  </si>
  <si>
    <t>Genèse 41</t>
  </si>
  <si>
    <t>Genèse 42</t>
  </si>
  <si>
    <t>https://www.bible.com/fr/audio-bible/152/GEN.42.S21</t>
  </si>
  <si>
    <t>Genèse 43</t>
  </si>
  <si>
    <t>https://www.bible.com/fr/audio-bible/152/GEN.43.S21</t>
  </si>
  <si>
    <t>Genèse 44</t>
  </si>
  <si>
    <t>Genèse 45</t>
  </si>
  <si>
    <t>https://www.bible.com/fr/audio-bible/152/GEN.45.S21</t>
  </si>
  <si>
    <t>Genèse 46</t>
  </si>
  <si>
    <t>Genèse 47</t>
  </si>
  <si>
    <t>https://www.bible.com/fr/audio-bible/152/GEN.47.S21</t>
  </si>
  <si>
    <t>Genèse 48</t>
  </si>
  <si>
    <t>https://www.bible.com/fr/audio-bible/152/GEN.48.S21</t>
  </si>
  <si>
    <t>Genèse 49</t>
  </si>
  <si>
    <t>Genèse 50</t>
  </si>
  <si>
    <t>https://www.bible.com/fr/audio-bible/152/GEN.50.S21</t>
  </si>
  <si>
    <t>Exode 1</t>
  </si>
  <si>
    <t>Exode 2</t>
  </si>
  <si>
    <t>https://www.bible.com/fr/audio-bible/152/EXO.2.S21</t>
  </si>
  <si>
    <t>Exode 3</t>
  </si>
  <si>
    <t>https://www.bible.com/fr/audio-bible/152/EXO.3.S21</t>
  </si>
  <si>
    <t>Exode 4</t>
  </si>
  <si>
    <t>Exode 5</t>
  </si>
  <si>
    <t>https://www.bible.com/fr/audio-bible/152/EXO.5.S21</t>
  </si>
  <si>
    <t>Exode 6</t>
  </si>
  <si>
    <t>Exode 7</t>
  </si>
  <si>
    <t>https://www.bible.com/fr/audio-bible/152/EXO.7.S21</t>
  </si>
  <si>
    <t>Exode 8</t>
  </si>
  <si>
    <t>https://www.bible.com/fr/audio-bible/152/EXO.8.S21</t>
  </si>
  <si>
    <t>Exode 9</t>
  </si>
  <si>
    <t>Exode 10</t>
  </si>
  <si>
    <t>https://www.bible.com/fr/audio-bible/152/EXO.10.S21</t>
  </si>
  <si>
    <t>Exode 11</t>
  </si>
  <si>
    <t>https://www.bible.com/fr/audio-bible/152/EXO.11.S21</t>
  </si>
  <si>
    <t>Exode 12</t>
  </si>
  <si>
    <t>Exode 13</t>
  </si>
  <si>
    <t>https://www.bible.com/fr/audio-bible/152/EXO.13.S21</t>
  </si>
  <si>
    <t>Exode 14</t>
  </si>
  <si>
    <t>Exode 15</t>
  </si>
  <si>
    <t>https://www.bible.com/fr/audio-bible/152/EXO.15.S21</t>
  </si>
  <si>
    <t>Exode 16</t>
  </si>
  <si>
    <t>https://www.bible.com/fr/audio-bible/152/EXO.16.S21</t>
  </si>
  <si>
    <t>Exode 17</t>
  </si>
  <si>
    <t>Exode 18</t>
  </si>
  <si>
    <t>https://www.bible.com/fr/audio-bible/152/EXO.18.S21</t>
  </si>
  <si>
    <t>Exode 19</t>
  </si>
  <si>
    <t>Exode 20</t>
  </si>
  <si>
    <t>https://www.bible.com/fr/audio-bible/152/EXO.20.S21</t>
  </si>
  <si>
    <t>Exode 21</t>
  </si>
  <si>
    <t>https://www.bible.com/fr/audio-bible/152/EXO.21.S21</t>
  </si>
  <si>
    <t>Exode 22</t>
  </si>
  <si>
    <t>Exode 23</t>
  </si>
  <si>
    <t>https://www.bible.com/fr/audio-bible/152/EXO.23.S21</t>
  </si>
  <si>
    <t>Exode 24</t>
  </si>
  <si>
    <t>Exode 25</t>
  </si>
  <si>
    <t>https://www.bible.com/fr/audio-bible/152/EXO.25.S21</t>
  </si>
  <si>
    <t>Exode 26</t>
  </si>
  <si>
    <t>https://www.bible.com/fr/audio-bible/152/EXO.26.S21</t>
  </si>
  <si>
    <t>Exode 27</t>
  </si>
  <si>
    <t>Exode 28</t>
  </si>
  <si>
    <t>https://www.bible.com/fr/audio-bible/152/EXO.28.S21</t>
  </si>
  <si>
    <t>Exode 29</t>
  </si>
  <si>
    <t>Exode 30</t>
  </si>
  <si>
    <t>https://www.bible.com/fr/audio-bible/152/EXO.30.S21</t>
  </si>
  <si>
    <t>Exode 31</t>
  </si>
  <si>
    <t>https://www.bible.com/fr/audio-bible/152/EXO.31.S21</t>
  </si>
  <si>
    <t>Exode 32</t>
  </si>
  <si>
    <t>Exode 33</t>
  </si>
  <si>
    <t>https://www.bible.com/fr/audio-bible/152/EXO.33.S21</t>
  </si>
  <si>
    <t>Exode 34</t>
  </si>
  <si>
    <t>Exode 35</t>
  </si>
  <si>
    <t>https://www.bible.com/fr/audio-bible/152/EXO.35.S21</t>
  </si>
  <si>
    <t>Exode 36</t>
  </si>
  <si>
    <t>https://www.bible.com/fr/audio-bible/152/EXO.36.S21</t>
  </si>
  <si>
    <t>Exode 37</t>
  </si>
  <si>
    <t>Exode 38</t>
  </si>
  <si>
    <t>https://www.bible.com/fr/audio-bible/152/EXO.38.S21</t>
  </si>
  <si>
    <t>Exode 39</t>
  </si>
  <si>
    <t>https://www.bible.com/fr/audio-bible/152/EXO.39.S21</t>
  </si>
  <si>
    <t>Exode 40</t>
  </si>
  <si>
    <t>https://www.bible.com/fr/audio-bible/152/EXO.40.S21</t>
  </si>
  <si>
    <t>Lévitique 1</t>
  </si>
  <si>
    <t>Lévitique 2</t>
  </si>
  <si>
    <t>Lévitique 3</t>
  </si>
  <si>
    <t>https://www.bible.com/fr/audio-bible/152/LEV.3.S21</t>
  </si>
  <si>
    <t>Lévitique 4</t>
  </si>
  <si>
    <t>https://www.bible.com/fr/audio-bible/152/LEV.4.S21</t>
  </si>
  <si>
    <t>Lévitique 5</t>
  </si>
  <si>
    <t>Lévitique 6</t>
  </si>
  <si>
    <t>https://www.bible.com/fr/audio-bible/152/LEV.6.S21</t>
  </si>
  <si>
    <t>Lévitique 7</t>
  </si>
  <si>
    <t>Lévitique 8</t>
  </si>
  <si>
    <t>https://www.bible.com/fr/audio-bible/152/LEV.8.S21</t>
  </si>
  <si>
    <t>Lévitique 9</t>
  </si>
  <si>
    <t>https://www.bible.com/fr/audio-bible/152/LEV.9.S21</t>
  </si>
  <si>
    <t>Lévitique 10</t>
  </si>
  <si>
    <t>Lévitique 11</t>
  </si>
  <si>
    <t>https://www.bible.com/fr/audio-bible/152/LEV.11.S21</t>
  </si>
  <si>
    <t>Lévitique 12</t>
  </si>
  <si>
    <t>Lévitique 13</t>
  </si>
  <si>
    <t>https://www.bible.com/fr/audio-bible/152/LEV.13.S21</t>
  </si>
  <si>
    <t>Lévitique 14</t>
  </si>
  <si>
    <t>https://www.bible.com/fr/audio-bible/152/LEV.14.S21</t>
  </si>
  <si>
    <t>Lévitique 15</t>
  </si>
  <si>
    <t>Lévitique 16</t>
  </si>
  <si>
    <t>https://www.bible.com/fr/audio-bible/152/LEV.16.S21</t>
  </si>
  <si>
    <t>Lévitique 17</t>
  </si>
  <si>
    <t>Lévitique 18</t>
  </si>
  <si>
    <t>https://www.bible.com/fr/audio-bible/152/LEV.18.S21</t>
  </si>
  <si>
    <t>Lévitique 19</t>
  </si>
  <si>
    <t>https://www.bible.com/fr/audio-bible/152/LEV.19.S21</t>
  </si>
  <si>
    <t>Lévitique 20</t>
  </si>
  <si>
    <t>Lévitique 21</t>
  </si>
  <si>
    <t>https://www.bible.com/fr/audio-bible/152/LEV.21.S21</t>
  </si>
  <si>
    <t>Lévitique 22</t>
  </si>
  <si>
    <t>Lévitique 23</t>
  </si>
  <si>
    <t>https://www.bible.com/fr/audio-bible/152/LEV.23.S21</t>
  </si>
  <si>
    <t>Lévitique 24</t>
  </si>
  <si>
    <t>https://www.bible.com/fr/audio-bible/152/LEV.24.S21</t>
  </si>
  <si>
    <t>Lévitique 25</t>
  </si>
  <si>
    <t>Lévitique 26</t>
  </si>
  <si>
    <t>https://www.bible.com/fr/audio-bible/152/LEV.26.S21</t>
  </si>
  <si>
    <t>Lévitique 27</t>
  </si>
  <si>
    <t>https://www.bible.com/fr/audio-bible/152/LEV.27.S21</t>
  </si>
  <si>
    <t>Nombres 1</t>
  </si>
  <si>
    <t>Nombres 2</t>
  </si>
  <si>
    <t>https://www.bible.com/fr/audio-bible/152/NUM.2.S21</t>
  </si>
  <si>
    <t>Nombres 3</t>
  </si>
  <si>
    <t>Nombres 4</t>
  </si>
  <si>
    <t>https://www.bible.com/fr/audio-bible/152/NUM.4.S21</t>
  </si>
  <si>
    <t>Nombres 5</t>
  </si>
  <si>
    <t>https://www.bible.com/fr/audio-bible/152/NUM.5.S21</t>
  </si>
  <si>
    <t>Nombres 6</t>
  </si>
  <si>
    <t>Nombres 7</t>
  </si>
  <si>
    <t>https://www.bible.com/fr/audio-bible/152/NUM.7.S21</t>
  </si>
  <si>
    <t>Nombres 8</t>
  </si>
  <si>
    <t>Nombres 9</t>
  </si>
  <si>
    <t>https://www.bible.com/fr/audio-bible/152/NUM.9.S21</t>
  </si>
  <si>
    <t>Nombres 10</t>
  </si>
  <si>
    <t>https://www.bible.com/fr/audio-bible/152/NUM.10.S21</t>
  </si>
  <si>
    <t>Nombres 11</t>
  </si>
  <si>
    <t>Nombres 12</t>
  </si>
  <si>
    <t>https://www.bible.com/fr/audio-bible/152/NUM.12.S21</t>
  </si>
  <si>
    <t>Nombres 13</t>
  </si>
  <si>
    <t>Nombres 14</t>
  </si>
  <si>
    <t>https://www.bible.com/fr/audio-bible/152/NUM.14.S21</t>
  </si>
  <si>
    <t>Nombres 15</t>
  </si>
  <si>
    <t>https://www.bible.com/fr/audio-bible/152/NUM.15.S21</t>
  </si>
  <si>
    <t>Nombres 16</t>
  </si>
  <si>
    <t>Nombres 17</t>
  </si>
  <si>
    <t>https://www.bible.com/fr/audio-bible/152/NUM.17.S21</t>
  </si>
  <si>
    <t>Nombres 18</t>
  </si>
  <si>
    <t>Nombres 19</t>
  </si>
  <si>
    <t>https://www.bible.com/fr/audio-bible/152/NUM.19.S21</t>
  </si>
  <si>
    <t>Nombres 20</t>
  </si>
  <si>
    <t>https://www.bible.com/fr/audio-bible/152/NUM.20.S21</t>
  </si>
  <si>
    <t>Nombres 21</t>
  </si>
  <si>
    <t>Nombres 22</t>
  </si>
  <si>
    <t>https://www.bible.com/fr/audio-bible/152/NUM.22.S21</t>
  </si>
  <si>
    <t>Nombres 23</t>
  </si>
  <si>
    <t>Nombres 24</t>
  </si>
  <si>
    <t>https://www.bible.com/fr/audio-bible/152/NUM.24.S21</t>
  </si>
  <si>
    <t>Nombres 25</t>
  </si>
  <si>
    <t>https://www.bible.com/fr/audio-bible/152/NUM.25.S21</t>
  </si>
  <si>
    <t>Nombres 26</t>
  </si>
  <si>
    <t>Nombres 27</t>
  </si>
  <si>
    <t>https://www.bible.com/fr/audio-bible/152/NUM.27.S21</t>
  </si>
  <si>
    <t>Nombres 28</t>
  </si>
  <si>
    <t>https://www.bible.com/fr/audio-bible/152/NUM.28.S21</t>
  </si>
  <si>
    <t>Nombres 29</t>
  </si>
  <si>
    <t>Nombres 30</t>
  </si>
  <si>
    <t>https://www.bible.com/fr/audio-bible/152/NUM.30.S21</t>
  </si>
  <si>
    <t>Nombres 31</t>
  </si>
  <si>
    <t>Nombres 32</t>
  </si>
  <si>
    <t>https://www.bible.com/fr/audio-bible/152/NUM.32.S21</t>
  </si>
  <si>
    <t>Nombres 33</t>
  </si>
  <si>
    <t>https://www.bible.com/fr/audio-bible/152/NUM.33.S21</t>
  </si>
  <si>
    <t>Nombres 34</t>
  </si>
  <si>
    <t>Nombres 35</t>
  </si>
  <si>
    <t>https://www.bible.com/fr/audio-bible/152/NUM.35.S21</t>
  </si>
  <si>
    <t>Nombres 36</t>
  </si>
  <si>
    <t>https://www.bible.com/fr/audio-bible/152/NUM.36.S21</t>
  </si>
  <si>
    <t>Deutéronome 1</t>
  </si>
  <si>
    <t>Deutéronome 2</t>
  </si>
  <si>
    <t>https://www.bible.com/fr/audio-bible/152/DEU.2.S21</t>
  </si>
  <si>
    <t>Deutéronome 3</t>
  </si>
  <si>
    <t>Deutéronome 4</t>
  </si>
  <si>
    <t>https://www.bible.com/fr/audio-bible/152/DEU.4.S21</t>
  </si>
  <si>
    <t>Deutéronome 5</t>
  </si>
  <si>
    <t>Deutéronome 6</t>
  </si>
  <si>
    <t>https://www.bible.com/fr/audio-bible/152/DEU.6.S21</t>
  </si>
  <si>
    <t>Deutéronome 7</t>
  </si>
  <si>
    <t>https://www.bible.com/fr/audio-bible/152/DEU.7.S21</t>
  </si>
  <si>
    <t>Deutéronome 8</t>
  </si>
  <si>
    <t>Deutéronome 9</t>
  </si>
  <si>
    <t>https://www.bible.com/fr/audio-bible/152/DEU.9.S21</t>
  </si>
  <si>
    <t>Deutéronome 10</t>
  </si>
  <si>
    <t>Deutéronome 11</t>
  </si>
  <si>
    <t>https://www.bible.com/fr/audio-bible/152/DEU.11.S21</t>
  </si>
  <si>
    <t>Deutéronome 12</t>
  </si>
  <si>
    <t>https://www.bible.com/fr/audio-bible/152/DEU.12.S21</t>
  </si>
  <si>
    <t>Deutéronome 13</t>
  </si>
  <si>
    <t>Deutéronome 14</t>
  </si>
  <si>
    <t>https://www.bible.com/fr/audio-bible/152/DEU.14.S21</t>
  </si>
  <si>
    <t>Deutéronome 15</t>
  </si>
  <si>
    <t>Deutéronome 16</t>
  </si>
  <si>
    <t>https://www.bible.com/fr/audio-bible/152/DEU.16.S21</t>
  </si>
  <si>
    <t>Deutéronome 17</t>
  </si>
  <si>
    <t>https://www.bible.com/fr/audio-bible/152/DEU.17.S21</t>
  </si>
  <si>
    <t>Deutéronome 18</t>
  </si>
  <si>
    <t>Deutéronome 19</t>
  </si>
  <si>
    <t>https://www.bible.com/fr/audio-bible/152/DEU.19.S21</t>
  </si>
  <si>
    <t>Deutéronome 20</t>
  </si>
  <si>
    <t>https://www.bible.com/fr/audio-bible/152/DEU.20.S21</t>
  </si>
  <si>
    <t>Deutéronome 21</t>
  </si>
  <si>
    <t>Deutéronome 22</t>
  </si>
  <si>
    <t>https://www.bible.com/fr/audio-bible/152/DEU.22.S21</t>
  </si>
  <si>
    <t>Deutéronome 23</t>
  </si>
  <si>
    <t>Deutéronome 24</t>
  </si>
  <si>
    <t>https://www.bible.com/fr/audio-bible/152/DEU.24.S21</t>
  </si>
  <si>
    <t>Deutéronome 25</t>
  </si>
  <si>
    <t>https://www.bible.com/fr/audio-bible/152/DEU.25.S21</t>
  </si>
  <si>
    <t>Deutéronome 26</t>
  </si>
  <si>
    <t>Deutéronome 27</t>
  </si>
  <si>
    <t>https://www.bible.com/fr/audio-bible/152/DEU.27.S21</t>
  </si>
  <si>
    <t>Deutéronome 28</t>
  </si>
  <si>
    <t>Deutéronome 29</t>
  </si>
  <si>
    <t>https://www.bible.com/fr/audio-bible/152/DEU.29.S21</t>
  </si>
  <si>
    <t>Deutéronome 30</t>
  </si>
  <si>
    <t>https://www.bible.com/fr/audio-bible/152/DEU.30.S21</t>
  </si>
  <si>
    <t>Deutéronome 31</t>
  </si>
  <si>
    <t>Deutéronome 32</t>
  </si>
  <si>
    <t>https://www.bible.com/fr/audio-bible/152/DEU.32.S21</t>
  </si>
  <si>
    <t>Deutéronome 33</t>
  </si>
  <si>
    <t>Deutéronome 34</t>
  </si>
  <si>
    <t>https://www.bible.com/fr/audio-bible/152/DEU.34.S21</t>
  </si>
  <si>
    <t>Josué 1</t>
  </si>
  <si>
    <t>https://www.bible.com/fr/audio-bible/152/JOS.1.S21</t>
  </si>
  <si>
    <t>Josué 2</t>
  </si>
  <si>
    <t>Josué 3</t>
  </si>
  <si>
    <t>https://www.bible.com/fr/audio-bible/152/JOS.3.S21</t>
  </si>
  <si>
    <t>Josué 4</t>
  </si>
  <si>
    <t>Josué 5</t>
  </si>
  <si>
    <t>https://www.bible.com/fr/audio-bible/152/JOS.5.S21</t>
  </si>
  <si>
    <t>Josué 6</t>
  </si>
  <si>
    <t>https://www.bible.com/fr/audio-bible/152/JOS.6.S21</t>
  </si>
  <si>
    <t>Josué 7</t>
  </si>
  <si>
    <t>Josué 8</t>
  </si>
  <si>
    <t>https://www.bible.com/fr/audio-bible/152/JOS.8.S21</t>
  </si>
  <si>
    <t>Josué 9</t>
  </si>
  <si>
    <t>Josué 10</t>
  </si>
  <si>
    <t>https://www.bible.com/fr/audio-bible/152/JOS.10.S21</t>
  </si>
  <si>
    <t>Josué 11</t>
  </si>
  <si>
    <t>https://www.bible.com/fr/audio-bible/152/JOS.11.S21</t>
  </si>
  <si>
    <t>Josué 12</t>
  </si>
  <si>
    <t>Josué 13</t>
  </si>
  <si>
    <t>https://www.bible.com/fr/audio-bible/152/JOS.13.S21</t>
  </si>
  <si>
    <t>Josué 14</t>
  </si>
  <si>
    <t>https://www.bible.com/fr/audio-bible/152/JOS.14.S21</t>
  </si>
  <si>
    <t>Josué 15</t>
  </si>
  <si>
    <t>Josué 16</t>
  </si>
  <si>
    <t>https://www.bible.com/fr/audio-bible/152/JOS.16.S21</t>
  </si>
  <si>
    <t>Josué 17</t>
  </si>
  <si>
    <t>Josué 18</t>
  </si>
  <si>
    <t>https://www.bible.com/fr/audio-bible/152/JOS.18.S21</t>
  </si>
  <si>
    <t>Josué 19</t>
  </si>
  <si>
    <t>https://www.bible.com/fr/audio-bible/152/JOS.19.S21</t>
  </si>
  <si>
    <t>Josué 20</t>
  </si>
  <si>
    <t>Josué 21</t>
  </si>
  <si>
    <t>https://www.bible.com/fr/audio-bible/152/JOS.21.S21</t>
  </si>
  <si>
    <t>Josué 22</t>
  </si>
  <si>
    <t>Josué 23</t>
  </si>
  <si>
    <t>https://www.bible.com/fr/audio-bible/152/JOS.23.S21</t>
  </si>
  <si>
    <t>Josué 24</t>
  </si>
  <si>
    <t>https://www.bible.com/fr/audio-bible/152/JOS.24.S21</t>
  </si>
  <si>
    <t>Juges 1</t>
  </si>
  <si>
    <t>Juges 2</t>
  </si>
  <si>
    <t>https://www.bible.com/fr/audio-bible/152/JDG.2.S21</t>
  </si>
  <si>
    <t>Juges 3</t>
  </si>
  <si>
    <t>Juges 4</t>
  </si>
  <si>
    <t>https://www.bible.com/fr/audio-bible/152/JDG.4.S21</t>
  </si>
  <si>
    <t>Juges 5</t>
  </si>
  <si>
    <t>https://www.bible.com/fr/audio-bible/152/JDG.5.S21</t>
  </si>
  <si>
    <t>Juges 6</t>
  </si>
  <si>
    <t>Juges 7</t>
  </si>
  <si>
    <t>https://www.bible.com/fr/audio-bible/152/JDG.7.S21</t>
  </si>
  <si>
    <t>Juges 8</t>
  </si>
  <si>
    <t>Juges 9</t>
  </si>
  <si>
    <t>https://www.bible.com/fr/audio-bible/152/JDG.9.S21</t>
  </si>
  <si>
    <t>Juges 10</t>
  </si>
  <si>
    <t>https://www.bible.com/fr/audio-bible/152/JDG.10.S21</t>
  </si>
  <si>
    <t>Juges 11</t>
  </si>
  <si>
    <t>Juges 12</t>
  </si>
  <si>
    <t>https://www.bible.com/fr/audio-bible/152/JDG.12.S21</t>
  </si>
  <si>
    <t>Juges 13</t>
  </si>
  <si>
    <t>Juges 14</t>
  </si>
  <si>
    <t>https://www.bible.com/fr/audio-bible/152/JDG.14.S21</t>
  </si>
  <si>
    <t>Juges 15</t>
  </si>
  <si>
    <t>https://www.bible.com/fr/audio-bible/152/JDG.15.S21</t>
  </si>
  <si>
    <t>Juges 16</t>
  </si>
  <si>
    <t>Juges 17</t>
  </si>
  <si>
    <t>https://www.bible.com/fr/audio-bible/152/JDG.17.S21</t>
  </si>
  <si>
    <t>Juges 18</t>
  </si>
  <si>
    <t>https://www.bible.com/fr/audio-bible/152/JDG.18.S21</t>
  </si>
  <si>
    <t>Juges 19</t>
  </si>
  <si>
    <t>Juges 20</t>
  </si>
  <si>
    <t>https://www.bible.com/fr/audio-bible/152/JDG.20.S21</t>
  </si>
  <si>
    <t>Juges 21</t>
  </si>
  <si>
    <t>Ruth 1</t>
  </si>
  <si>
    <t>https://www.bible.com/fr/audio-bible/152/RUT.1.S21</t>
  </si>
  <si>
    <t>Ruth 2</t>
  </si>
  <si>
    <t>https://www.bible.com/fr/audio-bible/152/RUT.2.S21</t>
  </si>
  <si>
    <t>Ruth 3</t>
  </si>
  <si>
    <t>Ruth 4</t>
  </si>
  <si>
    <t>https://www.bible.com/fr/audio-bible/152/RUT.4.S21</t>
  </si>
  <si>
    <t>1 Samuel 1</t>
  </si>
  <si>
    <t>1 Samuel 2</t>
  </si>
  <si>
    <t>https://www.bible.com/fr/audio-bible/152/1SA.2.S21</t>
  </si>
  <si>
    <t>1 Samuel 3</t>
  </si>
  <si>
    <t>https://www.bible.com/fr/audio-bible/152/1SA.3.S21</t>
  </si>
  <si>
    <t>1 Samuel 4</t>
  </si>
  <si>
    <t>1 Samuel 5</t>
  </si>
  <si>
    <t>https://www.bible.com/fr/audio-bible/152/1SA.5.S21</t>
  </si>
  <si>
    <t>1 Samuel 6</t>
  </si>
  <si>
    <t>1 Samuel 7</t>
  </si>
  <si>
    <t>https://www.bible.com/fr/audio-bible/152/1SA.7.S21</t>
  </si>
  <si>
    <t>1 Samuel 8</t>
  </si>
  <si>
    <t>https://www.bible.com/fr/audio-bible/152/1SA.8.S21</t>
  </si>
  <si>
    <t>1 Samuel 9</t>
  </si>
  <si>
    <t>1 Samuel 10</t>
  </si>
  <si>
    <t>https://www.bible.com/fr/audio-bible/152/1SA.10.S21</t>
  </si>
  <si>
    <t>1 Samuel 11</t>
  </si>
  <si>
    <t>1 Samuel 12</t>
  </si>
  <si>
    <t>https://www.bible.com/fr/audio-bible/152/1SA.12.S21</t>
  </si>
  <si>
    <t>1 Samuel 13</t>
  </si>
  <si>
    <t>https://www.bible.com/fr/audio-bible/152/1SA.13.S21</t>
  </si>
  <si>
    <t>1 Samuel 14</t>
  </si>
  <si>
    <t>1 Samuel 15</t>
  </si>
  <si>
    <t>https://www.bible.com/fr/audio-bible/152/1SA.15.S21</t>
  </si>
  <si>
    <t>1 Samuel 16</t>
  </si>
  <si>
    <t>1 Samuel 17</t>
  </si>
  <si>
    <t>https://www.bible.com/fr/audio-bible/152/1SA.17.S21</t>
  </si>
  <si>
    <t>1 Samuel 18</t>
  </si>
  <si>
    <t>https://www.bible.com/fr/audio-bible/152/1SA.18.S21</t>
  </si>
  <si>
    <t>1 Samuel 19</t>
  </si>
  <si>
    <t>1 Samuel 20</t>
  </si>
  <si>
    <t>https://www.bible.com/fr/audio-bible/152/1SA.20.S21</t>
  </si>
  <si>
    <t>1 Samuel 21</t>
  </si>
  <si>
    <t>https://www.bible.com/fr/audio-bible/152/1SA.21.S21</t>
  </si>
  <si>
    <t>1 Samuel 22</t>
  </si>
  <si>
    <t>1 Samuel 23</t>
  </si>
  <si>
    <t>https://www.bible.com/fr/audio-bible/152/1SA.23.S21</t>
  </si>
  <si>
    <t>1 Samuel 24</t>
  </si>
  <si>
    <t>1 Samuel 25</t>
  </si>
  <si>
    <t>https://www.bible.com/fr/audio-bible/152/1SA.25.S21</t>
  </si>
  <si>
    <t>1 Samuel 26</t>
  </si>
  <si>
    <t>https://www.bible.com/fr/audio-bible/152/1SA.26.S21</t>
  </si>
  <si>
    <t>1 Samuel 27</t>
  </si>
  <si>
    <t>1 Samuel 28</t>
  </si>
  <si>
    <t>https://www.bible.com/fr/audio-bible/152/1SA.28.S21</t>
  </si>
  <si>
    <t>1 Samuel 29</t>
  </si>
  <si>
    <t>1 Samuel 30</t>
  </si>
  <si>
    <t>https://www.bible.com/fr/audio-bible/152/1SA.30.S21</t>
  </si>
  <si>
    <t>1 Samuel 31</t>
  </si>
  <si>
    <t>https://www.bible.com/fr/audio-bible/152/1SA.31.S21</t>
  </si>
  <si>
    <t>2 Samuel 1</t>
  </si>
  <si>
    <t>2 Samuel 2</t>
  </si>
  <si>
    <t>https://www.bible.com/fr/audio-bible/152/2SA.2.S21</t>
  </si>
  <si>
    <t>2 Samuel 3</t>
  </si>
  <si>
    <t>2 Samuel 4</t>
  </si>
  <si>
    <t>https://www.bible.com/fr/audio-bible/152/2SA.4.S21</t>
  </si>
  <si>
    <t>2 Samuel 5</t>
  </si>
  <si>
    <t>https://www.bible.com/fr/audio-bible/152/2SA.5.S21</t>
  </si>
  <si>
    <t>2 Samuel 6</t>
  </si>
  <si>
    <t>2 Samuel 7</t>
  </si>
  <si>
    <t>https://www.bible.com/fr/audio-bible/152/2SA.7.S21</t>
  </si>
  <si>
    <t>2 Samuel 8</t>
  </si>
  <si>
    <t>2 Samuel 9</t>
  </si>
  <si>
    <t>https://www.bible.com/fr/audio-bible/152/2SA.9.S21</t>
  </si>
  <si>
    <t>2 Samuel 10</t>
  </si>
  <si>
    <t>https://www.bible.com/fr/audio-bible/152/2SA.10.S21</t>
  </si>
  <si>
    <t>2 Samuel 11</t>
  </si>
  <si>
    <t>2 Samuel 12</t>
  </si>
  <si>
    <t>https://www.bible.com/fr/audio-bible/152/2SA.12.S21</t>
  </si>
  <si>
    <t>2 Samuel 13</t>
  </si>
  <si>
    <t>2 Samuel 14</t>
  </si>
  <si>
    <t>https://www.bible.com/fr/audio-bible/152/2SA.14.S21</t>
  </si>
  <si>
    <t>2 Samuel 15</t>
  </si>
  <si>
    <t>https://www.bible.com/fr/audio-bible/152/2SA.15.S21</t>
  </si>
  <si>
    <t>2 Samuel 16</t>
  </si>
  <si>
    <t>2 Samuel 17</t>
  </si>
  <si>
    <t>https://www.bible.com/fr/audio-bible/152/2SA.17.S21</t>
  </si>
  <si>
    <t>2 Samuel 18</t>
  </si>
  <si>
    <t>https://www.bible.com/fr/audio-bible/152/2SA.18.S21</t>
  </si>
  <si>
    <t>2 Samuel 19</t>
  </si>
  <si>
    <t>2 Samuel 20</t>
  </si>
  <si>
    <t>https://www.bible.com/fr/audio-bible/152/2SA.20.S21</t>
  </si>
  <si>
    <t>2 Samuel 21</t>
  </si>
  <si>
    <t>2 Samuel 22</t>
  </si>
  <si>
    <t>https://www.bible.com/fr/audio-bible/152/2SA.22.S21</t>
  </si>
  <si>
    <t>2 Samuel 23</t>
  </si>
  <si>
    <t>https://www.bible.com/fr/audio-bible/152/2SA.23.S21</t>
  </si>
  <si>
    <t>2 Samuel 24</t>
  </si>
  <si>
    <t>1 Rois 1</t>
  </si>
  <si>
    <t>https://www.bible.com/fr/audio-bible/152/1KI.1.S21</t>
  </si>
  <si>
    <t>1 Rois 2</t>
  </si>
  <si>
    <t>1 Rois 3</t>
  </si>
  <si>
    <t>https://www.bible.com/fr/audio-bible/152/1KI.3.S21</t>
  </si>
  <si>
    <t>1 Rois 4</t>
  </si>
  <si>
    <t>https://www.bible.com/fr/audio-bible/152/1KI.4.S21</t>
  </si>
  <si>
    <t>1 Rois 5</t>
  </si>
  <si>
    <t>1 Rois 6</t>
  </si>
  <si>
    <t>https://www.bible.com/fr/audio-bible/152/1KI.6.S21</t>
  </si>
  <si>
    <t>1 Rois 7</t>
  </si>
  <si>
    <t>1 Rois 8</t>
  </si>
  <si>
    <t>https://www.bible.com/fr/audio-bible/152/1KI.8.S21</t>
  </si>
  <si>
    <t>1 Rois 9</t>
  </si>
  <si>
    <t>https://www.bible.com/fr/audio-bible/152/1KI.9.S21</t>
  </si>
  <si>
    <t>1 Rois 10</t>
  </si>
  <si>
    <t>1 Rois 11</t>
  </si>
  <si>
    <t>https://www.bible.com/fr/audio-bible/152/1KI.11.S21</t>
  </si>
  <si>
    <t>1 Rois 12</t>
  </si>
  <si>
    <t>1 Rois 13</t>
  </si>
  <si>
    <t>https://www.bible.com/fr/audio-bible/152/1KI.13.S21</t>
  </si>
  <si>
    <t>1 Rois 14</t>
  </si>
  <si>
    <t>https://www.bible.com/fr/audio-bible/152/1KI.14.S21</t>
  </si>
  <si>
    <t>1 Rois 15</t>
  </si>
  <si>
    <t>1 Rois 16</t>
  </si>
  <si>
    <t>https://www.bible.com/fr/audio-bible/152/1KI.16.S21</t>
  </si>
  <si>
    <t>1 Rois 17</t>
  </si>
  <si>
    <t>1 Rois 18</t>
  </si>
  <si>
    <t>https://www.bible.com/fr/audio-bible/152/1KI.18.S21</t>
  </si>
  <si>
    <t>1 Rois 19</t>
  </si>
  <si>
    <t>https://www.bible.com/fr/audio-bible/152/1KI.19.S21</t>
  </si>
  <si>
    <t>1 Rois 20</t>
  </si>
  <si>
    <t>1 Rois 21</t>
  </si>
  <si>
    <t>https://www.bible.com/fr/audio-bible/152/1KI.21.S21</t>
  </si>
  <si>
    <t>1 Rois 22</t>
  </si>
  <si>
    <t>https://www.bible.com/fr/audio-bible/152/1KI.22.S21</t>
  </si>
  <si>
    <t>2 Rois 1</t>
  </si>
  <si>
    <t>2 Rois 2</t>
  </si>
  <si>
    <t>https://www.bible.com/fr/audio-bible/152/2KI.2.S21</t>
  </si>
  <si>
    <t>2 Rois 3</t>
  </si>
  <si>
    <t>2 Rois 4</t>
  </si>
  <si>
    <t>https://www.bible.com/fr/audio-bible/152/2KI.4.S21</t>
  </si>
  <si>
    <t>2 Rois 5</t>
  </si>
  <si>
    <t>https://www.bible.com/fr/audio-bible/152/2KI.5.S21</t>
  </si>
  <si>
    <t>2 Rois 6</t>
  </si>
  <si>
    <t>2 Rois 7</t>
  </si>
  <si>
    <t>https://www.bible.com/fr/audio-bible/152/2KI.7.S21</t>
  </si>
  <si>
    <t>2 Rois 8</t>
  </si>
  <si>
    <t>2 Rois 9</t>
  </si>
  <si>
    <t>https://www.bible.com/fr/audio-bible/152/2KI.9.S21</t>
  </si>
  <si>
    <t>2 Rois 10</t>
  </si>
  <si>
    <t>https://www.bible.com/fr/audio-bible/152/2KI.10.S21</t>
  </si>
  <si>
    <t>2 Rois 11</t>
  </si>
  <si>
    <t>2 Rois 12</t>
  </si>
  <si>
    <t>https://www.bible.com/fr/audio-bible/152/2KI.12.S21</t>
  </si>
  <si>
    <t>2 Rois 13</t>
  </si>
  <si>
    <t>2 Rois 14</t>
  </si>
  <si>
    <t>https://www.bible.com/fr/audio-bible/152/2KI.14.S21</t>
  </si>
  <si>
    <t>2 Rois 15</t>
  </si>
  <si>
    <t>https://www.bible.com/fr/audio-bible/152/2KI.15.S21</t>
  </si>
  <si>
    <t>2 Rois 16</t>
  </si>
  <si>
    <t>2 Rois 17</t>
  </si>
  <si>
    <t>https://www.bible.com/fr/audio-bible/152/2KI.17.S21</t>
  </si>
  <si>
    <t>2 Rois 18</t>
  </si>
  <si>
    <t>2 Rois 19</t>
  </si>
  <si>
    <t>https://www.bible.com/fr/audio-bible/152/2KI.19.S21</t>
  </si>
  <si>
    <t>2 Rois 20</t>
  </si>
  <si>
    <t>https://www.bible.com/fr/audio-bible/152/2KI.20.S21</t>
  </si>
  <si>
    <t>2 Rois 21</t>
  </si>
  <si>
    <t>2 Rois 22</t>
  </si>
  <si>
    <t>https://www.bible.com/fr/audio-bible/152/2KI.22.S21</t>
  </si>
  <si>
    <t>2 Rois 23</t>
  </si>
  <si>
    <t>2 Rois 24</t>
  </si>
  <si>
    <t>https://www.bible.com/fr/audio-bible/152/2KI.24.S21</t>
  </si>
  <si>
    <t>2 Rois 25</t>
  </si>
  <si>
    <t>https://www.bible.com/fr/audio-bible/152/2KI.25.S21</t>
  </si>
  <si>
    <t>1 Chroniques 1</t>
  </si>
  <si>
    <t>1 Chroniques 2</t>
  </si>
  <si>
    <t>https://www.bible.com/fr/audio-bible/152/1CH.2.S21</t>
  </si>
  <si>
    <t>1 Chroniques 3</t>
  </si>
  <si>
    <t>https://www.bible.com/fr/audio-bible/152/1CH.3.S21</t>
  </si>
  <si>
    <t>1 Chroniques 4</t>
  </si>
  <si>
    <t>1 Chroniques 5</t>
  </si>
  <si>
    <t>https://www.bible.com/fr/audio-bible/152/1CH.5.S21</t>
  </si>
  <si>
    <t>1 Chroniques 6</t>
  </si>
  <si>
    <t>1 Chroniques 7</t>
  </si>
  <si>
    <t>https://www.bible.com/fr/audio-bible/152/1CH.7.S21</t>
  </si>
  <si>
    <t>1 Chroniques 8</t>
  </si>
  <si>
    <t>https://www.bible.com/fr/audio-bible/152/1CH.8.S21</t>
  </si>
  <si>
    <t>1 Chroniques 9</t>
  </si>
  <si>
    <t>1 Chroniques 10</t>
  </si>
  <si>
    <t>https://www.bible.com/fr/audio-bible/152/1CH.10.S21</t>
  </si>
  <si>
    <t>1 Chroniques 11</t>
  </si>
  <si>
    <t>1 Chroniques 12</t>
  </si>
  <si>
    <t>https://www.bible.com/fr/audio-bible/152/1CH.12.S21</t>
  </si>
  <si>
    <t>1 Chroniques 13</t>
  </si>
  <si>
    <t>https://www.bible.com/fr/audio-bible/152/1CH.13.S21</t>
  </si>
  <si>
    <t>1 Chroniques 14</t>
  </si>
  <si>
    <t>1 Chroniques 15</t>
  </si>
  <si>
    <t>https://www.bible.com/fr/audio-bible/152/1CH.15.S21</t>
  </si>
  <si>
    <t>1 Chroniques 16</t>
  </si>
  <si>
    <t>1 Chroniques 17</t>
  </si>
  <si>
    <t>https://www.bible.com/fr/audio-bible/152/1CH.17.S21</t>
  </si>
  <si>
    <t>1 Chroniques 18</t>
  </si>
  <si>
    <t>https://www.bible.com/fr/audio-bible/152/1CH.18.S21</t>
  </si>
  <si>
    <t>1 Chroniques 19</t>
  </si>
  <si>
    <t>1 Chroniques 20</t>
  </si>
  <si>
    <t>https://www.bible.com/fr/audio-bible/152/1CH.20.S21</t>
  </si>
  <si>
    <t>1 Chroniques 21</t>
  </si>
  <si>
    <t>1 Chroniques 22</t>
  </si>
  <si>
    <t>https://www.bible.com/fr/audio-bible/152/1CH.22.S21</t>
  </si>
  <si>
    <t>1 Chroniques 23</t>
  </si>
  <si>
    <t>https://www.bible.com/fr/audio-bible/152/1CH.23.S21</t>
  </si>
  <si>
    <t>1 Chroniques 24</t>
  </si>
  <si>
    <t>1 Chroniques 25</t>
  </si>
  <si>
    <t>https://www.bible.com/fr/audio-bible/152/1CH.25.S21</t>
  </si>
  <si>
    <t>1 Chroniques 26</t>
  </si>
  <si>
    <t>1 Chroniques 27</t>
  </si>
  <si>
    <t>https://www.bible.com/fr/audio-bible/152/1CH.27.S21</t>
  </si>
  <si>
    <t>1 Chroniques 28</t>
  </si>
  <si>
    <t>https://www.bible.com/fr/audio-bible/152/1CH.28.S21</t>
  </si>
  <si>
    <t>1 Chroniques 29</t>
  </si>
  <si>
    <t>2 Chroniques 1</t>
  </si>
  <si>
    <t>https://www.bible.com/fr/audio-bible/152/2CH.1.S21</t>
  </si>
  <si>
    <t>2 Chroniques 2</t>
  </si>
  <si>
    <t>https://www.bible.com/fr/audio-bible/152/2CH.2.S21</t>
  </si>
  <si>
    <t>2 Chroniques 3</t>
  </si>
  <si>
    <t>2 Chroniques 4</t>
  </si>
  <si>
    <t>https://www.bible.com/fr/audio-bible/152/2CH.4.S21</t>
  </si>
  <si>
    <t>2 Chroniques 5</t>
  </si>
  <si>
    <t>2 Chroniques 6</t>
  </si>
  <si>
    <t>https://www.bible.com/fr/audio-bible/152/2CH.6.S21</t>
  </si>
  <si>
    <t>2 Chroniques 7</t>
  </si>
  <si>
    <t>https://www.bible.com/fr/audio-bible/152/2CH.7.S21</t>
  </si>
  <si>
    <t>2 Chroniques 8</t>
  </si>
  <si>
    <t>2 Chroniques 9</t>
  </si>
  <si>
    <t>https://www.bible.com/fr/audio-bible/152/2CH.9.S21</t>
  </si>
  <si>
    <t>2 Chroniques 10</t>
  </si>
  <si>
    <t>2 Chroniques 11</t>
  </si>
  <si>
    <t>https://www.bible.com/fr/audio-bible/152/2CH.11.S21</t>
  </si>
  <si>
    <t>2 Chroniques 12</t>
  </si>
  <si>
    <t>https://www.bible.com/fr/audio-bible/152/2CH.12.S21</t>
  </si>
  <si>
    <t>2 Chroniques 13</t>
  </si>
  <si>
    <t>2 Chroniques 14</t>
  </si>
  <si>
    <t>https://www.bible.com/fr/audio-bible/152/2CH.14.S21</t>
  </si>
  <si>
    <t>2 Chroniques 15</t>
  </si>
  <si>
    <t>2 Chroniques 16</t>
  </si>
  <si>
    <t>https://www.bible.com/fr/audio-bible/152/2CH.16.S21</t>
  </si>
  <si>
    <t>2 Chroniques 17</t>
  </si>
  <si>
    <t>https://www.bible.com/fr/audio-bible/152/2CH.17.S21</t>
  </si>
  <si>
    <t>2 Chroniques 18</t>
  </si>
  <si>
    <t>2 Chroniques 19</t>
  </si>
  <si>
    <t>https://www.bible.com/fr/audio-bible/152/2CH.19.S21</t>
  </si>
  <si>
    <t>2 Chroniques 20</t>
  </si>
  <si>
    <t>2 Chroniques 21</t>
  </si>
  <si>
    <t>https://www.bible.com/fr/audio-bible/152/2CH.21.S21</t>
  </si>
  <si>
    <t>2 Chroniques 22</t>
  </si>
  <si>
    <t>https://www.bible.com/fr/audio-bible/152/2CH.22.S21</t>
  </si>
  <si>
    <t>2 Chroniques 23</t>
  </si>
  <si>
    <t>2 Chroniques 24</t>
  </si>
  <si>
    <t>https://www.bible.com/fr/audio-bible/152/2CH.24.S21</t>
  </si>
  <si>
    <t>2 Chroniques 25</t>
  </si>
  <si>
    <t>2 Chroniques 26</t>
  </si>
  <si>
    <t>https://www.bible.com/fr/audio-bible/152/2CH.26.S21</t>
  </si>
  <si>
    <t>2 Chroniques 27</t>
  </si>
  <si>
    <t>https://www.bible.com/fr/audio-bible/152/2CH.27.S21</t>
  </si>
  <si>
    <t>2 Chroniques 28</t>
  </si>
  <si>
    <t>2 Chroniques 29</t>
  </si>
  <si>
    <t>https://www.bible.com/fr/audio-bible/152/2CH.29.S21</t>
  </si>
  <si>
    <t>2 Chroniques 30</t>
  </si>
  <si>
    <t>https://www.bible.com/fr/audio-bible/152/2CH.30.S21</t>
  </si>
  <si>
    <t>2 Chroniques 31</t>
  </si>
  <si>
    <t>2 Chroniques 32</t>
  </si>
  <si>
    <t>https://www.bible.com/fr/audio-bible/152/2CH.32.S21</t>
  </si>
  <si>
    <t>2 Chroniques 33</t>
  </si>
  <si>
    <t>2 Chroniques 34</t>
  </si>
  <si>
    <t>https://www.bible.com/fr/audio-bible/152/2CH.34.S21</t>
  </si>
  <si>
    <t>2 Chroniques 35</t>
  </si>
  <si>
    <t>https://www.bible.com/fr/audio-bible/152/2CH.35.S21</t>
  </si>
  <si>
    <t>2 Chroniques 36</t>
  </si>
  <si>
    <t>Esdras 1</t>
  </si>
  <si>
    <t>https://www.bible.com/fr/audio-bible/152/EZR.1.S21</t>
  </si>
  <si>
    <t>Esdras 2</t>
  </si>
  <si>
    <t>Esdras 3</t>
  </si>
  <si>
    <t>https://www.bible.com/fr/audio-bible/152/EZR.3.S21</t>
  </si>
  <si>
    <t>Esdras 4</t>
  </si>
  <si>
    <t>https://www.bible.com/fr/audio-bible/152/EZR.4.S21</t>
  </si>
  <si>
    <t>Esdras 5</t>
  </si>
  <si>
    <t>Esdras 6</t>
  </si>
  <si>
    <t>https://www.bible.com/fr/audio-bible/152/EZR.6.S21</t>
  </si>
  <si>
    <t>Esdras 7</t>
  </si>
  <si>
    <t>Esdras 8</t>
  </si>
  <si>
    <t>https://www.bible.com/fr/audio-bible/152/EZR.8.S21</t>
  </si>
  <si>
    <t>Esdras 9</t>
  </si>
  <si>
    <t>https://www.bible.com/fr/audio-bible/152/EZR.9.S21</t>
  </si>
  <si>
    <t>Esdras 10</t>
  </si>
  <si>
    <t>https://www.bible.com/fr/audio-bible/152/EZR.10.S21</t>
  </si>
  <si>
    <t>Néhémie 1</t>
  </si>
  <si>
    <t>Néhémie 2</t>
  </si>
  <si>
    <t>Néhémie 3</t>
  </si>
  <si>
    <t>https://www.bible.com/fr/audio-bible/152/NEH.3.S21</t>
  </si>
  <si>
    <t>Néhémie 4</t>
  </si>
  <si>
    <t>https://www.bible.com/fr/audio-bible/152/NEH.4.S21</t>
  </si>
  <si>
    <t>Néhémie 5</t>
  </si>
  <si>
    <t>Néhémie 6</t>
  </si>
  <si>
    <t>https://www.bible.com/fr/audio-bible/152/NEH.6.S21</t>
  </si>
  <si>
    <t>Néhémie 7</t>
  </si>
  <si>
    <t>Néhémie 8</t>
  </si>
  <si>
    <t>https://www.bible.com/fr/audio-bible/152/NEH.8.S21</t>
  </si>
  <si>
    <t>Néhémie 9</t>
  </si>
  <si>
    <t>https://www.bible.com/fr/audio-bible/152/NEH.9.S21</t>
  </si>
  <si>
    <t>Néhémie 10</t>
  </si>
  <si>
    <t>Néhémie 11</t>
  </si>
  <si>
    <t>https://www.bible.com/fr/audio-bible/152/NEH.11.S21</t>
  </si>
  <si>
    <t>Néhémie 12</t>
  </si>
  <si>
    <t>https://www.bible.com/fr/audio-bible/152/NEH.12.S21</t>
  </si>
  <si>
    <t>Néhémie 13</t>
  </si>
  <si>
    <t>Esther 1</t>
  </si>
  <si>
    <t>https://www.bible.com/fr/audio-bible/152/EST.1.S21</t>
  </si>
  <si>
    <t>Esther 2</t>
  </si>
  <si>
    <t>Esther 3</t>
  </si>
  <si>
    <t>https://www.bible.com/fr/audio-bible/152/EST.3.S21</t>
  </si>
  <si>
    <t>Esther 4</t>
  </si>
  <si>
    <t>https://www.bible.com/fr/audio-bible/152/EST.4.S21</t>
  </si>
  <si>
    <t>Esther 5</t>
  </si>
  <si>
    <t>Esther 6</t>
  </si>
  <si>
    <t>https://www.bible.com/fr/audio-bible/152/EST.6.S21</t>
  </si>
  <si>
    <t>Esther 7</t>
  </si>
  <si>
    <t>Esther 8</t>
  </si>
  <si>
    <t>https://www.bible.com/fr/audio-bible/152/EST.8.S21</t>
  </si>
  <si>
    <t>Esther 9</t>
  </si>
  <si>
    <t>https://www.bible.com/fr/audio-bible/152/EST.9.S21</t>
  </si>
  <si>
    <t>Esther 10</t>
  </si>
  <si>
    <t>Job 1</t>
  </si>
  <si>
    <t>https://www.bible.com/fr/audio-bible/152/JOB.1.S21</t>
  </si>
  <si>
    <t>Job 2</t>
  </si>
  <si>
    <t>Job 3</t>
  </si>
  <si>
    <t>https://www.bible.com/fr/audio-bible/152/JOB.3.S21</t>
  </si>
  <si>
    <t>Job 4</t>
  </si>
  <si>
    <t>https://www.bible.com/fr/audio-bible/152/JOB.4.S21</t>
  </si>
  <si>
    <t>Job 5</t>
  </si>
  <si>
    <t>Job 6</t>
  </si>
  <si>
    <t>https://www.bible.com/fr/audio-bible/152/JOB.6.S21</t>
  </si>
  <si>
    <t>Job 7</t>
  </si>
  <si>
    <t>Job 8</t>
  </si>
  <si>
    <t>https://www.bible.com/fr/audio-bible/152/JOB.8.S21</t>
  </si>
  <si>
    <t>Job 9</t>
  </si>
  <si>
    <t>https://www.bible.com/fr/audio-bible/152/JOB.9.S21</t>
  </si>
  <si>
    <t>Job 10</t>
  </si>
  <si>
    <t>Job 11</t>
  </si>
  <si>
    <t>https://www.bible.com/fr/audio-bible/152/JOB.11.S21</t>
  </si>
  <si>
    <t>Job 12</t>
  </si>
  <si>
    <t>Job 13</t>
  </si>
  <si>
    <t>https://www.bible.com/fr/audio-bible/152/JOB.13.S21</t>
  </si>
  <si>
    <t>Job 14</t>
  </si>
  <si>
    <t>https://www.bible.com/fr/audio-bible/152/JOB.14.S21</t>
  </si>
  <si>
    <t>Job 15</t>
  </si>
  <si>
    <t>Job 16</t>
  </si>
  <si>
    <t>https://www.bible.com/fr/audio-bible/152/JOB.16.S21</t>
  </si>
  <si>
    <t>Job 17</t>
  </si>
  <si>
    <t>https://www.bible.com/fr/audio-bible/152/JOB.17.S21</t>
  </si>
  <si>
    <t>Job 18</t>
  </si>
  <si>
    <t>Job 19</t>
  </si>
  <si>
    <t>https://www.bible.com/fr/audio-bible/152/JOB.19.S21</t>
  </si>
  <si>
    <t>Job 20</t>
  </si>
  <si>
    <t>Job 21</t>
  </si>
  <si>
    <t>https://www.bible.com/fr/audio-bible/152/JOB.21.S21</t>
  </si>
  <si>
    <t>Job 22</t>
  </si>
  <si>
    <t>https://www.bible.com/fr/audio-bible/152/JOB.22.S21</t>
  </si>
  <si>
    <t>Job 23</t>
  </si>
  <si>
    <t>Job 24</t>
  </si>
  <si>
    <t>https://www.bible.com/fr/audio-bible/152/JOB.24.S21</t>
  </si>
  <si>
    <t>Job 25</t>
  </si>
  <si>
    <t>Job 26</t>
  </si>
  <si>
    <t>https://www.bible.com/fr/audio-bible/152/JOB.26.S21</t>
  </si>
  <si>
    <t>Job 27</t>
  </si>
  <si>
    <t>https://www.bible.com/fr/audio-bible/152/JOB.27.S21</t>
  </si>
  <si>
    <t>Job 28</t>
  </si>
  <si>
    <t>Job 29</t>
  </si>
  <si>
    <t>https://www.bible.com/fr/audio-bible/152/JOB.29.S21</t>
  </si>
  <si>
    <t>Job 30</t>
  </si>
  <si>
    <t>Job 31</t>
  </si>
  <si>
    <t>https://www.bible.com/fr/audio-bible/152/JOB.31.S21</t>
  </si>
  <si>
    <t>Job 32</t>
  </si>
  <si>
    <t>https://www.bible.com/fr/audio-bible/152/JOB.32.S21</t>
  </si>
  <si>
    <t>Job 33</t>
  </si>
  <si>
    <t>Job 34</t>
  </si>
  <si>
    <t>https://www.bible.com/fr/audio-bible/152/JOB.34.S21</t>
  </si>
  <si>
    <t>Job 35</t>
  </si>
  <si>
    <t>Job 36</t>
  </si>
  <si>
    <t>https://www.bible.com/fr/audio-bible/152/JOB.36.S21</t>
  </si>
  <si>
    <t>Job 37</t>
  </si>
  <si>
    <t>https://www.bible.com/fr/audio-bible/152/JOB.37.S21</t>
  </si>
  <si>
    <t>Job 38</t>
  </si>
  <si>
    <t>Job 39</t>
  </si>
  <si>
    <t>https://www.bible.com/fr/audio-bible/152/JOB.39.S21</t>
  </si>
  <si>
    <t>Job 40</t>
  </si>
  <si>
    <t>Job 41</t>
  </si>
  <si>
    <t>https://www.bible.com/fr/audio-bible/152/JOB.41.S21</t>
  </si>
  <si>
    <t>Job 42</t>
  </si>
  <si>
    <t>https://www.bible.com/fr/audio-bible/152/JOB.42.S21</t>
  </si>
  <si>
    <t>Psaumes 1</t>
  </si>
  <si>
    <t>Psaumes 2</t>
  </si>
  <si>
    <t>https://www.bible.com/fr/audio-bible/152/PSA.2.S21</t>
  </si>
  <si>
    <t>Psaumes 3</t>
  </si>
  <si>
    <t>https://www.bible.com/fr/audio-bible/152/PSA.3.S21</t>
  </si>
  <si>
    <t>Psaumes 4</t>
  </si>
  <si>
    <t>Psaumes 5</t>
  </si>
  <si>
    <t>https://www.bible.com/fr/audio-bible/152/PSA.5.S21</t>
  </si>
  <si>
    <t>Psaumes 6</t>
  </si>
  <si>
    <t>Psaumes 7</t>
  </si>
  <si>
    <t>https://www.bible.com/fr/audio-bible/152/PSA.7.S21</t>
  </si>
  <si>
    <t>Psaumes 8</t>
  </si>
  <si>
    <t>https://www.bible.com/fr/audio-bible/152/PSA.8.S21</t>
  </si>
  <si>
    <t>Psaumes 9</t>
  </si>
  <si>
    <t>Psaumes 10</t>
  </si>
  <si>
    <t>https://www.bible.com/fr/audio-bible/152/PSA.10.S21</t>
  </si>
  <si>
    <t>Psaumes 11</t>
  </si>
  <si>
    <t>Psaumes 12</t>
  </si>
  <si>
    <t>https://www.bible.com/fr/audio-bible/152/PSA.12.S21</t>
  </si>
  <si>
    <t>Psaumes 13</t>
  </si>
  <si>
    <t>https://www.bible.com/fr/audio-bible/152/PSA.13.S21</t>
  </si>
  <si>
    <t>Psaumes 14</t>
  </si>
  <si>
    <t>Psaumes 15</t>
  </si>
  <si>
    <t>https://www.bible.com/fr/audio-bible/152/PSA.15.S21</t>
  </si>
  <si>
    <t>Psaumes 16</t>
  </si>
  <si>
    <t>Psaumes 17</t>
  </si>
  <si>
    <t>https://www.bible.com/fr/audio-bible/152/PSA.17.S21</t>
  </si>
  <si>
    <t>Psaumes 18</t>
  </si>
  <si>
    <t>https://www.bible.com/fr/audio-bible/152/PSA.18.S21</t>
  </si>
  <si>
    <t>Psaumes 19</t>
  </si>
  <si>
    <t>Psaumes 20</t>
  </si>
  <si>
    <t>https://www.bible.com/fr/audio-bible/152/PSA.20.S21</t>
  </si>
  <si>
    <t>Psaumes 21</t>
  </si>
  <si>
    <t>Psaumes 22</t>
  </si>
  <si>
    <t>https://www.bible.com/fr/audio-bible/152/PSA.22.S21</t>
  </si>
  <si>
    <t>Psaumes 23</t>
  </si>
  <si>
    <t>https://www.bible.com/fr/audio-bible/152/PSA.23.S21</t>
  </si>
  <si>
    <t>Psaumes 24</t>
  </si>
  <si>
    <t>Psaumes 25</t>
  </si>
  <si>
    <t>https://www.bible.com/fr/audio-bible/152/PSA.25.S21</t>
  </si>
  <si>
    <t>Psaumes 26</t>
  </si>
  <si>
    <t>Psaumes 27</t>
  </si>
  <si>
    <t>https://www.bible.com/fr/audio-bible/152/PSA.27.S21</t>
  </si>
  <si>
    <t>Psaumes 28</t>
  </si>
  <si>
    <t>https://www.bible.com/fr/audio-bible/152/PSA.28.S21</t>
  </si>
  <si>
    <t>Psaumes 29</t>
  </si>
  <si>
    <t>Psaumes 30</t>
  </si>
  <si>
    <t>https://www.bible.com/fr/audio-bible/152/PSA.30.S21</t>
  </si>
  <si>
    <t>Psaumes 31</t>
  </si>
  <si>
    <t>https://www.bible.com/fr/audio-bible/152/PSA.31.S21</t>
  </si>
  <si>
    <t>Psaumes 32</t>
  </si>
  <si>
    <t>Psaumes 33</t>
  </si>
  <si>
    <t>https://www.bible.com/fr/audio-bible/152/PSA.33.S21</t>
  </si>
  <si>
    <t>Psaumes 34</t>
  </si>
  <si>
    <t>Psaumes 35</t>
  </si>
  <si>
    <t>https://www.bible.com/fr/audio-bible/152/PSA.35.S21</t>
  </si>
  <si>
    <t>Psaumes 36</t>
  </si>
  <si>
    <t>https://www.bible.com/fr/audio-bible/152/PSA.36.S21</t>
  </si>
  <si>
    <t>Psaumes 37</t>
  </si>
  <si>
    <t>Psaumes 38</t>
  </si>
  <si>
    <t>https://www.bible.com/fr/audio-bible/152/PSA.38.S21</t>
  </si>
  <si>
    <t>Psaumes 39</t>
  </si>
  <si>
    <t>Psaumes 40</t>
  </si>
  <si>
    <t>https://www.bible.com/fr/audio-bible/152/PSA.40.S21</t>
  </si>
  <si>
    <t>Psaumes 41</t>
  </si>
  <si>
    <t>https://www.bible.com/fr/audio-bible/152/PSA.41.S21</t>
  </si>
  <si>
    <t>Psaumes 42</t>
  </si>
  <si>
    <t>Psaumes 43</t>
  </si>
  <si>
    <t>https://www.bible.com/fr/audio-bible/152/PSA.43.S21</t>
  </si>
  <si>
    <t>Psaumes 44</t>
  </si>
  <si>
    <t>Psaumes 45</t>
  </si>
  <si>
    <t>https://www.bible.com/fr/audio-bible/152/PSA.45.S21</t>
  </si>
  <si>
    <t>Psaumes 46</t>
  </si>
  <si>
    <t>https://www.bible.com/fr/audio-bible/152/PSA.46.S21</t>
  </si>
  <si>
    <t>Psaumes 47</t>
  </si>
  <si>
    <t>Psaumes 48</t>
  </si>
  <si>
    <t>https://www.bible.com/fr/audio-bible/152/PSA.48.S21</t>
  </si>
  <si>
    <t>Psaumes 49</t>
  </si>
  <si>
    <t>Psaumes 50</t>
  </si>
  <si>
    <t>https://www.bible.com/fr/audio-bible/152/PSA.50.S21</t>
  </si>
  <si>
    <t>Psaumes 51</t>
  </si>
  <si>
    <t>https://www.bible.com/fr/audio-bible/152/PSA.51.S21</t>
  </si>
  <si>
    <t>Psaumes 52</t>
  </si>
  <si>
    <t>Psaumes 53</t>
  </si>
  <si>
    <t>https://www.bible.com/fr/audio-bible/152/PSA.53.S21</t>
  </si>
  <si>
    <t>Psaumes 54</t>
  </si>
  <si>
    <t>Psaumes 55</t>
  </si>
  <si>
    <t>https://www.bible.com/fr/audio-bible/152/PSA.55.S21</t>
  </si>
  <si>
    <t>Psaumes 56</t>
  </si>
  <si>
    <t>https://www.bible.com/fr/audio-bible/152/PSA.56.S21</t>
  </si>
  <si>
    <t>Psaumes 57</t>
  </si>
  <si>
    <t>Psaumes 58</t>
  </si>
  <si>
    <t>https://www.bible.com/fr/audio-bible/152/PSA.58.S21</t>
  </si>
  <si>
    <t>Psaumes 59</t>
  </si>
  <si>
    <t>https://www.bible.com/fr/audio-bible/152/PSA.59.S21</t>
  </si>
  <si>
    <t>Psaumes 60</t>
  </si>
  <si>
    <t>Psaumes 61</t>
  </si>
  <si>
    <t>https://www.bible.com/fr/audio-bible/152/PSA.61.S21</t>
  </si>
  <si>
    <t>Psaumes 62</t>
  </si>
  <si>
    <t>Psaumes 63</t>
  </si>
  <si>
    <t>https://www.bible.com/fr/audio-bible/152/PSA.63.S21</t>
  </si>
  <si>
    <t>Psaumes 64</t>
  </si>
  <si>
    <t>https://www.bible.com/fr/audio-bible/152/PSA.64.S21</t>
  </si>
  <si>
    <t>Psaumes 65</t>
  </si>
  <si>
    <t>Psaumes 66</t>
  </si>
  <si>
    <t>https://www.bible.com/fr/audio-bible/152/PSA.66.S21</t>
  </si>
  <si>
    <t>Psaumes 67</t>
  </si>
  <si>
    <t>Psaumes 68</t>
  </si>
  <si>
    <t>https://www.bible.com/fr/audio-bible/152/PSA.68.S21</t>
  </si>
  <si>
    <t>Psaumes 69</t>
  </si>
  <si>
    <t>https://www.bible.com/fr/audio-bible/152/PSA.69.S21</t>
  </si>
  <si>
    <t>Psaumes 70</t>
  </si>
  <si>
    <t>Psaumes 71</t>
  </si>
  <si>
    <t>https://www.bible.com/fr/audio-bible/152/PSA.71.S21</t>
  </si>
  <si>
    <t>Psaumes 72</t>
  </si>
  <si>
    <t>Psaumes 73</t>
  </si>
  <si>
    <t>https://www.bible.com/fr/audio-bible/152/PSA.73.S21</t>
  </si>
  <si>
    <t>Psaumes 74</t>
  </si>
  <si>
    <t>https://www.bible.com/fr/audio-bible/152/PSA.74.S21</t>
  </si>
  <si>
    <t>Psaumes 75</t>
  </si>
  <si>
    <t>Psaumes 76</t>
  </si>
  <si>
    <t>https://www.bible.com/fr/audio-bible/152/PSA.76.S21</t>
  </si>
  <si>
    <t>Psaumes 77</t>
  </si>
  <si>
    <t>Psaumes 78</t>
  </si>
  <si>
    <t>https://www.bible.com/fr/audio-bible/152/PSA.78.S21</t>
  </si>
  <si>
    <t>Psaumes 79</t>
  </si>
  <si>
    <t>https://www.bible.com/fr/audio-bible/152/PSA.79.S21</t>
  </si>
  <si>
    <t>Psaumes 80</t>
  </si>
  <si>
    <t>Psaumes 81</t>
  </si>
  <si>
    <t>https://www.bible.com/fr/audio-bible/152/PSA.81.S21</t>
  </si>
  <si>
    <t>Psaumes 82</t>
  </si>
  <si>
    <t>Psaumes 83</t>
  </si>
  <si>
    <t>https://www.bible.com/fr/audio-bible/152/PSA.83.S21</t>
  </si>
  <si>
    <t>Psaumes 84</t>
  </si>
  <si>
    <t>https://www.bible.com/fr/audio-bible/152/PSA.84.S21</t>
  </si>
  <si>
    <t>Psaumes 85</t>
  </si>
  <si>
    <t>Psaumes 86</t>
  </si>
  <si>
    <t>https://www.bible.com/fr/audio-bible/152/PSA.86.S21</t>
  </si>
  <si>
    <t>Psaumes 87</t>
  </si>
  <si>
    <t>https://www.bible.com/fr/audio-bible/152/PSA.87.S21</t>
  </si>
  <si>
    <t>Psaumes 88</t>
  </si>
  <si>
    <t>Psaumes 89</t>
  </si>
  <si>
    <t>https://www.bible.com/fr/audio-bible/152/PSA.89.S21</t>
  </si>
  <si>
    <t>Psaumes 90</t>
  </si>
  <si>
    <t>Psaumes 91</t>
  </si>
  <si>
    <t>https://www.bible.com/fr/audio-bible/152/PSA.91.S21</t>
  </si>
  <si>
    <t>Psaumes 92</t>
  </si>
  <si>
    <t>https://www.bible.com/fr/audio-bible/152/PSA.92.S21</t>
  </si>
  <si>
    <t>Psaumes 93</t>
  </si>
  <si>
    <t>Psaumes 94</t>
  </si>
  <si>
    <t>https://www.bible.com/fr/audio-bible/152/PSA.94.S21</t>
  </si>
  <si>
    <t>Psaumes 95</t>
  </si>
  <si>
    <t>Psaumes 96</t>
  </si>
  <si>
    <t>https://www.bible.com/fr/audio-bible/152/PSA.96.S21</t>
  </si>
  <si>
    <t>Psaumes 97</t>
  </si>
  <si>
    <t>https://www.bible.com/fr/audio-bible/152/PSA.97.S21</t>
  </si>
  <si>
    <t>Psaumes 98</t>
  </si>
  <si>
    <t>Psaumes 99</t>
  </si>
  <si>
    <t>https://www.bible.com/fr/audio-bible/152/PSA.99.S21</t>
  </si>
  <si>
    <t>Psaumes 100</t>
  </si>
  <si>
    <t>Psaumes 101</t>
  </si>
  <si>
    <t>https://www.bible.com/fr/audio-bible/152/PSA.101.S21</t>
  </si>
  <si>
    <t>Psaumes 102</t>
  </si>
  <si>
    <t>https://www.bible.com/fr/audio-bible/152/PSA.102.S21</t>
  </si>
  <si>
    <t>Psaumes 103</t>
  </si>
  <si>
    <t>Psaumes 104</t>
  </si>
  <si>
    <t>https://www.bible.com/fr/audio-bible/152/PSA.104.S21</t>
  </si>
  <si>
    <t>Psaumes 105</t>
  </si>
  <si>
    <t>Psaumes 106</t>
  </si>
  <si>
    <t>https://www.bible.com/fr/audio-bible/152/PSA.106.S21</t>
  </si>
  <si>
    <t>Psaumes 107</t>
  </si>
  <si>
    <t>https://www.bible.com/fr/audio-bible/152/PSA.107.S21</t>
  </si>
  <si>
    <t>Psaumes 108</t>
  </si>
  <si>
    <t>Psaumes 109</t>
  </si>
  <si>
    <t>https://www.bible.com/fr/audio-bible/152/PSA.109.S21</t>
  </si>
  <si>
    <t>Psaumes 110</t>
  </si>
  <si>
    <t>Psaumes 111</t>
  </si>
  <si>
    <t>https://www.bible.com/fr/audio-bible/152/PSA.111.S21</t>
  </si>
  <si>
    <t>Psaumes 112</t>
  </si>
  <si>
    <t>https://www.bible.com/fr/audio-bible/152/PSA.112.S21</t>
  </si>
  <si>
    <t>Psaumes 113</t>
  </si>
  <si>
    <t>Psaumes 114</t>
  </si>
  <si>
    <t>https://www.bible.com/fr/audio-bible/152/PSA.114.S21</t>
  </si>
  <si>
    <t>Psaumes 115</t>
  </si>
  <si>
    <t>https://www.bible.com/fr/audio-bible/152/PSA.115.S21</t>
  </si>
  <si>
    <t>Psaumes 116</t>
  </si>
  <si>
    <t>Psaumes 117</t>
  </si>
  <si>
    <t>https://www.bible.com/fr/audio-bible/152/PSA.117.S21</t>
  </si>
  <si>
    <t>Psaumes 118</t>
  </si>
  <si>
    <t>Psaumes 119</t>
  </si>
  <si>
    <t>https://www.bible.com/fr/audio-bible/152/PSA.119.S21</t>
  </si>
  <si>
    <t>Psaumes 120</t>
  </si>
  <si>
    <t>https://www.bible.com/fr/audio-bible/152/PSA.120.S21</t>
  </si>
  <si>
    <t>Psaumes 121</t>
  </si>
  <si>
    <t>Psaumes 122</t>
  </si>
  <si>
    <t>https://www.bible.com/fr/audio-bible/152/PSA.122.S21</t>
  </si>
  <si>
    <t>Psaumes 123</t>
  </si>
  <si>
    <t>Psaumes 124</t>
  </si>
  <si>
    <t>https://www.bible.com/fr/audio-bible/152/PSA.124.S21</t>
  </si>
  <si>
    <t>Psaumes 125</t>
  </si>
  <si>
    <t>https://www.bible.com/fr/audio-bible/152/PSA.125.S21</t>
  </si>
  <si>
    <t>Psaumes 126</t>
  </si>
  <si>
    <t>Psaumes 127</t>
  </si>
  <si>
    <t>https://www.bible.com/fr/audio-bible/152/PSA.127.S21</t>
  </si>
  <si>
    <t>Psaumes 128</t>
  </si>
  <si>
    <t>Psaumes 129</t>
  </si>
  <si>
    <t>https://www.bible.com/fr/audio-bible/152/PSA.129.S21</t>
  </si>
  <si>
    <t>Psaumes 130</t>
  </si>
  <si>
    <t>https://www.bible.com/fr/audio-bible/152/PSA.130.S21</t>
  </si>
  <si>
    <t>Psaumes 131</t>
  </si>
  <si>
    <t>Psaumes 132</t>
  </si>
  <si>
    <t>https://www.bible.com/fr/audio-bible/152/PSA.132.S21</t>
  </si>
  <si>
    <t>Psaumes 133</t>
  </si>
  <si>
    <t>Psaumes 134</t>
  </si>
  <si>
    <t>https://www.bible.com/fr/audio-bible/152/PSA.134.S21</t>
  </si>
  <si>
    <t>Psaumes 135</t>
  </si>
  <si>
    <t>https://www.bible.com/fr/audio-bible/152/PSA.135.S21</t>
  </si>
  <si>
    <t>Psaumes 136</t>
  </si>
  <si>
    <t>Psaumes 137</t>
  </si>
  <si>
    <t>https://www.bible.com/fr/audio-bible/152/PSA.137.S21</t>
  </si>
  <si>
    <t>Psaumes 138</t>
  </si>
  <si>
    <t>Psaumes 139</t>
  </si>
  <si>
    <t>https://www.bible.com/fr/audio-bible/152/PSA.139.S21</t>
  </si>
  <si>
    <t>Psaumes 140</t>
  </si>
  <si>
    <t>https://www.bible.com/fr/audio-bible/152/PSA.140.S21</t>
  </si>
  <si>
    <t>Psaumes 141</t>
  </si>
  <si>
    <t>Psaumes 142</t>
  </si>
  <si>
    <t>https://www.bible.com/fr/audio-bible/152/PSA.142.S21</t>
  </si>
  <si>
    <t>Psaumes 143</t>
  </si>
  <si>
    <t>https://www.bible.com/fr/audio-bible/152/PSA.143.S21</t>
  </si>
  <si>
    <t>Psaumes 144</t>
  </si>
  <si>
    <t>Psaumes 145</t>
  </si>
  <si>
    <t>https://www.bible.com/fr/audio-bible/152/PSA.145.S21</t>
  </si>
  <si>
    <t>Psaumes 146</t>
  </si>
  <si>
    <t>Psaumes 147</t>
  </si>
  <si>
    <t>https://www.bible.com/fr/audio-bible/152/PSA.147.S21</t>
  </si>
  <si>
    <t>Psaumes 148</t>
  </si>
  <si>
    <t>https://www.bible.com/fr/audio-bible/152/PSA.148.S21</t>
  </si>
  <si>
    <t>Psaumes 149</t>
  </si>
  <si>
    <t>Psaumes 150</t>
  </si>
  <si>
    <t>https://www.bible.com/fr/audio-bible/152/PSA.150.S21</t>
  </si>
  <si>
    <t>Proverbes 1</t>
  </si>
  <si>
    <t>Proverbes 2</t>
  </si>
  <si>
    <t>https://www.bible.com/fr/audio-bible/152/PRO.2.S21</t>
  </si>
  <si>
    <t>Proverbes 3</t>
  </si>
  <si>
    <t>https://www.bible.com/fr/audio-bible/152/PRO.3.S21</t>
  </si>
  <si>
    <t>Proverbes 4</t>
  </si>
  <si>
    <t>Proverbes 5</t>
  </si>
  <si>
    <t>https://www.bible.com/fr/audio-bible/152/PRO.5.S21</t>
  </si>
  <si>
    <t>Proverbes 6</t>
  </si>
  <si>
    <t>Proverbes 7</t>
  </si>
  <si>
    <t>https://www.bible.com/fr/audio-bible/152/PRO.7.S21</t>
  </si>
  <si>
    <t>Proverbes 8</t>
  </si>
  <si>
    <t>https://www.bible.com/fr/audio-bible/152/PRO.8.S21</t>
  </si>
  <si>
    <t>Proverbes 9</t>
  </si>
  <si>
    <t>Proverbes 10</t>
  </si>
  <si>
    <t>https://www.bible.com/fr/audio-bible/152/PRO.10.S21</t>
  </si>
  <si>
    <t>Proverbes 11</t>
  </si>
  <si>
    <t>Proverbes 12</t>
  </si>
  <si>
    <t>https://www.bible.com/fr/audio-bible/152/PRO.12.S21</t>
  </si>
  <si>
    <t>Proverbes 13</t>
  </si>
  <si>
    <t>https://www.bible.com/fr/audio-bible/152/PRO.13.S21</t>
  </si>
  <si>
    <t>Proverbes 14</t>
  </si>
  <si>
    <t>Proverbes 15</t>
  </si>
  <si>
    <t>https://www.bible.com/fr/audio-bible/152/PRO.15.S21</t>
  </si>
  <si>
    <t>Proverbes 16</t>
  </si>
  <si>
    <t>Proverbes 17</t>
  </si>
  <si>
    <t>https://www.bible.com/fr/audio-bible/152/PRO.17.S21</t>
  </si>
  <si>
    <t>Proverbes 18</t>
  </si>
  <si>
    <t>https://www.bible.com/fr/audio-bible/152/PRO.18.S21</t>
  </si>
  <si>
    <t>Proverbes 19</t>
  </si>
  <si>
    <t>Proverbes 20</t>
  </si>
  <si>
    <t>https://www.bible.com/fr/audio-bible/152/PRO.20.S21</t>
  </si>
  <si>
    <t>Proverbes 21</t>
  </si>
  <si>
    <t>https://www.bible.com/fr/audio-bible/152/PRO.21.S21</t>
  </si>
  <si>
    <t>Proverbes 22</t>
  </si>
  <si>
    <t>Proverbes 23</t>
  </si>
  <si>
    <t>https://www.bible.com/fr/audio-bible/152/PRO.23.S21</t>
  </si>
  <si>
    <t>Proverbes 24</t>
  </si>
  <si>
    <t>Proverbes 25</t>
  </si>
  <si>
    <t>https://www.bible.com/fr/audio-bible/152/PRO.25.S21</t>
  </si>
  <si>
    <t>Proverbes 26</t>
  </si>
  <si>
    <t>https://www.bible.com/fr/audio-bible/152/PRO.26.S21</t>
  </si>
  <si>
    <t>Proverbes 27</t>
  </si>
  <si>
    <t>Proverbes 28</t>
  </si>
  <si>
    <t>https://www.bible.com/fr/audio-bible/152/PRO.28.S21</t>
  </si>
  <si>
    <t>Proverbes 29</t>
  </si>
  <si>
    <t>Proverbes 30</t>
  </si>
  <si>
    <t>https://www.bible.com/fr/audio-bible/152/PRO.30.S21</t>
  </si>
  <si>
    <t>Proverbes 31</t>
  </si>
  <si>
    <t>https://www.bible.com/fr/audio-bible/152/PRO.31.S21</t>
  </si>
  <si>
    <t>Ecclésiaste 1</t>
  </si>
  <si>
    <t>Ecclésiaste 2</t>
  </si>
  <si>
    <t>https://www.bible.com/fr/audio-bible/152/ECC.2.S21</t>
  </si>
  <si>
    <t>Ecclésiaste 3</t>
  </si>
  <si>
    <t>Ecclésiaste 4</t>
  </si>
  <si>
    <t>https://www.bible.com/fr/audio-bible/152/ECC.4.S21</t>
  </si>
  <si>
    <t>Ecclésiaste 5</t>
  </si>
  <si>
    <t>https://www.bible.com/fr/audio-bible/152/ECC.5.S21</t>
  </si>
  <si>
    <t>Ecclésiaste 6</t>
  </si>
  <si>
    <t>Ecclésiaste 7</t>
  </si>
  <si>
    <t>https://www.bible.com/fr/audio-bible/152/ECC.7.S21</t>
  </si>
  <si>
    <t>Ecclésiaste 8</t>
  </si>
  <si>
    <t>Ecclésiaste 9</t>
  </si>
  <si>
    <t>https://www.bible.com/fr/audio-bible/152/ECC.9.S21</t>
  </si>
  <si>
    <t>Ecclésiaste 10</t>
  </si>
  <si>
    <t>https://www.bible.com/fr/audio-bible/152/ECC.10.S21</t>
  </si>
  <si>
    <t>Ecclésiaste 11</t>
  </si>
  <si>
    <t>Ecclésiaste 12</t>
  </si>
  <si>
    <t>https://www.bible.com/fr/audio-bible/152/ECC.12.S21</t>
  </si>
  <si>
    <t>Cantique 1</t>
  </si>
  <si>
    <t>Cantique 2</t>
  </si>
  <si>
    <t>https://www.bible.com/fr/audio-bible/152/SNG.2.S21</t>
  </si>
  <si>
    <t>Cantique 3</t>
  </si>
  <si>
    <t>https://www.bible.com/fr/audio-bible/152/SNG.3.S21</t>
  </si>
  <si>
    <t>Cantique 4</t>
  </si>
  <si>
    <t>Cantique 5</t>
  </si>
  <si>
    <t>https://www.bible.com/fr/audio-bible/152/SNG.5.S21</t>
  </si>
  <si>
    <t>Cantique 6</t>
  </si>
  <si>
    <t>https://www.bible.com/fr/audio-bible/152/SNG.6.S21</t>
  </si>
  <si>
    <t>Cantique 7</t>
  </si>
  <si>
    <t>Cantique 8</t>
  </si>
  <si>
    <t>https://www.bible.com/fr/audio-bible/152/SNG.8.S21</t>
  </si>
  <si>
    <t>Ésaïe 1</t>
  </si>
  <si>
    <t>Ésaïe 2</t>
  </si>
  <si>
    <t>https://www.bible.com/fr/audio-bible/152/ISA.2.S21</t>
  </si>
  <si>
    <t>Ésaïe 3</t>
  </si>
  <si>
    <t>https://www.bible.com/fr/audio-bible/152/ISA.3.S21</t>
  </si>
  <si>
    <t>Ésaïe 4</t>
  </si>
  <si>
    <t>Ésaïe 5</t>
  </si>
  <si>
    <t>https://www.bible.com/fr/audio-bible/152/ISA.5.S21</t>
  </si>
  <si>
    <t>Ésaïe 6</t>
  </si>
  <si>
    <t>Ésaïe 7</t>
  </si>
  <si>
    <t>https://www.bible.com/fr/audio-bible/152/ISA.7.S21</t>
  </si>
  <si>
    <t>Ésaïe 8</t>
  </si>
  <si>
    <t>https://www.bible.com/fr/audio-bible/152/ISA.8.S21</t>
  </si>
  <si>
    <t>Ésaïe 9</t>
  </si>
  <si>
    <t>Ésaïe 10</t>
  </si>
  <si>
    <t>https://www.bible.com/fr/audio-bible/152/ISA.10.S21</t>
  </si>
  <si>
    <t>Ésaïe 11</t>
  </si>
  <si>
    <t>Ésaïe 12</t>
  </si>
  <si>
    <t>https://www.bible.com/fr/audio-bible/152/ISA.12.S21</t>
  </si>
  <si>
    <t>Ésaïe 13</t>
  </si>
  <si>
    <t>https://www.bible.com/fr/audio-bible/152/ISA.13.S21</t>
  </si>
  <si>
    <t>Ésaïe 14</t>
  </si>
  <si>
    <t>Ésaïe 15</t>
  </si>
  <si>
    <t>https://www.bible.com/fr/audio-bible/152/ISA.15.S21</t>
  </si>
  <si>
    <t>Ésaïe 16</t>
  </si>
  <si>
    <t>Ésaïe 17</t>
  </si>
  <si>
    <t>https://www.bible.com/fr/audio-bible/152/ISA.17.S21</t>
  </si>
  <si>
    <t>Ésaïe 18</t>
  </si>
  <si>
    <t>https://www.bible.com/fr/audio-bible/152/ISA.18.S21</t>
  </si>
  <si>
    <t>Ésaïe 19</t>
  </si>
  <si>
    <t>Ésaïe 20</t>
  </si>
  <si>
    <t>https://www.bible.com/fr/audio-bible/152/ISA.20.S21</t>
  </si>
  <si>
    <t>Ésaïe 21</t>
  </si>
  <si>
    <t>Ésaïe 22</t>
  </si>
  <si>
    <t>https://www.bible.com/fr/audio-bible/152/ISA.22.S21</t>
  </si>
  <si>
    <t>Ésaïe 23</t>
  </si>
  <si>
    <t>https://www.bible.com/fr/audio-bible/152/ISA.23.S21</t>
  </si>
  <si>
    <t>Ésaïe 24</t>
  </si>
  <si>
    <t>Ésaïe 25</t>
  </si>
  <si>
    <t>https://www.bible.com/fr/audio-bible/152/ISA.25.S21</t>
  </si>
  <si>
    <t>Ésaïe 26</t>
  </si>
  <si>
    <t>https://www.bible.com/fr/audio-bible/152/ISA.26.S21</t>
  </si>
  <si>
    <t>Ésaïe 27</t>
  </si>
  <si>
    <t>Ésaïe 28</t>
  </si>
  <si>
    <t>https://www.bible.com/fr/audio-bible/152/ISA.28.S21</t>
  </si>
  <si>
    <t>Ésaïe 29</t>
  </si>
  <si>
    <t>Ésaïe 30</t>
  </si>
  <si>
    <t>https://www.bible.com/fr/audio-bible/152/ISA.30.S21</t>
  </si>
  <si>
    <t>Ésaïe 31</t>
  </si>
  <si>
    <t>https://www.bible.com/fr/audio-bible/152/ISA.31.S21</t>
  </si>
  <si>
    <t>Ésaïe 32</t>
  </si>
  <si>
    <t>Ésaïe 33</t>
  </si>
  <si>
    <t>https://www.bible.com/fr/audio-bible/152/ISA.33.S21</t>
  </si>
  <si>
    <t>Ésaïe 34</t>
  </si>
  <si>
    <t>Ésaïe 35</t>
  </si>
  <si>
    <t>https://www.bible.com/fr/audio-bible/152/ISA.35.S21</t>
  </si>
  <si>
    <t>Ésaïe 36</t>
  </si>
  <si>
    <t>https://www.bible.com/fr/audio-bible/152/ISA.36.S21</t>
  </si>
  <si>
    <t>Ésaïe 37</t>
  </si>
  <si>
    <t>Ésaïe 38</t>
  </si>
  <si>
    <t>https://www.bible.com/fr/audio-bible/152/ISA.38.S21</t>
  </si>
  <si>
    <t>Ésaïe 39</t>
  </si>
  <si>
    <t>Ésaïe 40</t>
  </si>
  <si>
    <t>https://www.bible.com/fr/audio-bible/152/ISA.40.S21</t>
  </si>
  <si>
    <t>Ésaïe 41</t>
  </si>
  <si>
    <t>https://www.bible.com/fr/audio-bible/152/ISA.41.S21</t>
  </si>
  <si>
    <t>Ésaïe 42</t>
  </si>
  <si>
    <t>Ésaïe 43</t>
  </si>
  <si>
    <t>https://www.bible.com/fr/audio-bible/152/ISA.43.S21</t>
  </si>
  <si>
    <t>Ésaïe 44</t>
  </si>
  <si>
    <t>Ésaïe 45</t>
  </si>
  <si>
    <t>https://www.bible.com/fr/audio-bible/152/ISA.45.S21</t>
  </si>
  <si>
    <t>Ésaïe 46</t>
  </si>
  <si>
    <t>https://www.bible.com/fr/audio-bible/152/ISA.46.S21</t>
  </si>
  <si>
    <t>Ésaïe 47</t>
  </si>
  <si>
    <t>Ésaïe 48</t>
  </si>
  <si>
    <t>https://www.bible.com/fr/audio-bible/152/ISA.48.S21</t>
  </si>
  <si>
    <t>Ésaïe 49</t>
  </si>
  <si>
    <t>Ésaïe 50</t>
  </si>
  <si>
    <t>https://www.bible.com/fr/audio-bible/152/ISA.50.S21</t>
  </si>
  <si>
    <t>Ésaïe 51</t>
  </si>
  <si>
    <t>https://www.bible.com/fr/audio-bible/152/ISA.51.S21</t>
  </si>
  <si>
    <t>Ésaïe 52</t>
  </si>
  <si>
    <t>Ésaïe 53</t>
  </si>
  <si>
    <t>https://www.bible.com/fr/audio-bible/152/ISA.53.S21</t>
  </si>
  <si>
    <t>Ésaïe 54</t>
  </si>
  <si>
    <t>https://www.bible.com/fr/audio-bible/152/ISA.54.S21</t>
  </si>
  <si>
    <t>Ésaïe 55</t>
  </si>
  <si>
    <t>Ésaïe 56</t>
  </si>
  <si>
    <t>https://www.bible.com/fr/audio-bible/152/ISA.56.S21</t>
  </si>
  <si>
    <t>Ésaïe 57</t>
  </si>
  <si>
    <t>Ésaïe 58</t>
  </si>
  <si>
    <t>https://www.bible.com/fr/audio-bible/152/ISA.58.S21</t>
  </si>
  <si>
    <t>Ésaïe 59</t>
  </si>
  <si>
    <t>https://www.bible.com/fr/audio-bible/152/ISA.59.S21</t>
  </si>
  <si>
    <t>Ésaïe 60</t>
  </si>
  <si>
    <t>Ésaïe 61</t>
  </si>
  <si>
    <t>https://www.bible.com/fr/audio-bible/152/ISA.61.S21</t>
  </si>
  <si>
    <t>Ésaïe 62</t>
  </si>
  <si>
    <t>Ésaïe 63</t>
  </si>
  <si>
    <t>https://www.bible.com/fr/audio-bible/152/ISA.63.S21</t>
  </si>
  <si>
    <t>Ésaïe 64</t>
  </si>
  <si>
    <t>https://www.bible.com/fr/audio-bible/152/ISA.64.S21</t>
  </si>
  <si>
    <t>Ésaïe 65</t>
  </si>
  <si>
    <t>Ésaïe 66</t>
  </si>
  <si>
    <t>https://www.bible.com/fr/audio-bible/152/ISA.66.S21</t>
  </si>
  <si>
    <t>Jérémie 1</t>
  </si>
  <si>
    <t>Jérémie 2</t>
  </si>
  <si>
    <t>https://www.bible.com/fr/audio-bible/152/JER.2.S21</t>
  </si>
  <si>
    <t>Jérémie 3</t>
  </si>
  <si>
    <t>https://www.bible.com/fr/audio-bible/152/JER.3.S21</t>
  </si>
  <si>
    <t>Jérémie 4</t>
  </si>
  <si>
    <t>Jérémie 5</t>
  </si>
  <si>
    <t>https://www.bible.com/fr/audio-bible/152/JER.5.S21</t>
  </si>
  <si>
    <t>Jérémie 6</t>
  </si>
  <si>
    <t>Jérémie 7</t>
  </si>
  <si>
    <t>https://www.bible.com/fr/audio-bible/152/JER.7.S21</t>
  </si>
  <si>
    <t>Jérémie 8</t>
  </si>
  <si>
    <t>https://www.bible.com/fr/audio-bible/152/JER.8.S21</t>
  </si>
  <si>
    <t>Jérémie 9</t>
  </si>
  <si>
    <t>Jérémie 10</t>
  </si>
  <si>
    <t>https://www.bible.com/fr/audio-bible/152/JER.10.S21</t>
  </si>
  <si>
    <t>Jérémie 11</t>
  </si>
  <si>
    <t>Jérémie 12</t>
  </si>
  <si>
    <t>https://www.bible.com/fr/audio-bible/152/JER.12.S21</t>
  </si>
  <si>
    <t>Jérémie 13</t>
  </si>
  <si>
    <t>https://www.bible.com/fr/audio-bible/152/JER.13.S21</t>
  </si>
  <si>
    <t>Jérémie 14</t>
  </si>
  <si>
    <t>Jérémie 15</t>
  </si>
  <si>
    <t>https://www.bible.com/fr/audio-bible/152/JER.15.S21</t>
  </si>
  <si>
    <t>Jérémie 16</t>
  </si>
  <si>
    <t>https://www.bible.com/fr/audio-bible/152/JER.16.S21</t>
  </si>
  <si>
    <t>Jérémie 17</t>
  </si>
  <si>
    <t>Jérémie 18</t>
  </si>
  <si>
    <t>https://www.bible.com/fr/audio-bible/152/JER.18.S21</t>
  </si>
  <si>
    <t>Jérémie 19</t>
  </si>
  <si>
    <t>Jérémie 20</t>
  </si>
  <si>
    <t>https://www.bible.com/fr/audio-bible/152/JER.20.S21</t>
  </si>
  <si>
    <t>Jérémie 21</t>
  </si>
  <si>
    <t>https://www.bible.com/fr/audio-bible/152/JER.21.S21</t>
  </si>
  <si>
    <t>Jérémie 22</t>
  </si>
  <si>
    <t>Jérémie 23</t>
  </si>
  <si>
    <t>https://www.bible.com/fr/audio-bible/152/JER.23.S21</t>
  </si>
  <si>
    <t>Jérémie 24</t>
  </si>
  <si>
    <t>Jérémie 25</t>
  </si>
  <si>
    <t>https://www.bible.com/fr/audio-bible/152/JER.25.S21</t>
  </si>
  <si>
    <t>Jérémie 26</t>
  </si>
  <si>
    <t>https://www.bible.com/fr/audio-bible/152/JER.26.S21</t>
  </si>
  <si>
    <t>Jérémie 27</t>
  </si>
  <si>
    <t>Jérémie 28</t>
  </si>
  <si>
    <t>https://www.bible.com/fr/audio-bible/152/JER.28.S21</t>
  </si>
  <si>
    <t>Jérémie 29</t>
  </si>
  <si>
    <t>Jérémie 30</t>
  </si>
  <si>
    <t>https://www.bible.com/fr/audio-bible/152/JER.30.S21</t>
  </si>
  <si>
    <t>Jérémie 31</t>
  </si>
  <si>
    <t>https://www.bible.com/fr/audio-bible/152/JER.31.S21</t>
  </si>
  <si>
    <t>Jérémie 32</t>
  </si>
  <si>
    <t>Jérémie 33</t>
  </si>
  <si>
    <t>https://www.bible.com/fr/audio-bible/152/JER.33.S21</t>
  </si>
  <si>
    <t>Jérémie 34</t>
  </si>
  <si>
    <t>Jérémie 35</t>
  </si>
  <si>
    <t>https://www.bible.com/fr/audio-bible/152/JER.35.S21</t>
  </si>
  <si>
    <t>Jérémie 36</t>
  </si>
  <si>
    <t>https://www.bible.com/fr/audio-bible/152/JER.36.S21</t>
  </si>
  <si>
    <t>Jérémie 37</t>
  </si>
  <si>
    <t>Jérémie 38</t>
  </si>
  <si>
    <t>https://www.bible.com/fr/audio-bible/152/JER.38.S21</t>
  </si>
  <si>
    <t>Jérémie 39</t>
  </si>
  <si>
    <t>Jérémie 40</t>
  </si>
  <si>
    <t>https://www.bible.com/fr/audio-bible/152/JER.40.S21</t>
  </si>
  <si>
    <t>Jérémie 41</t>
  </si>
  <si>
    <t>https://www.bible.com/fr/audio-bible/152/JER.41.S21</t>
  </si>
  <si>
    <t>Jérémie 42</t>
  </si>
  <si>
    <t>Jérémie 43</t>
  </si>
  <si>
    <t>https://www.bible.com/fr/audio-bible/152/JER.43.S21</t>
  </si>
  <si>
    <t>Jérémie 44</t>
  </si>
  <si>
    <t>https://www.bible.com/fr/audio-bible/152/JER.44.S21</t>
  </si>
  <si>
    <t>Jérémie 45</t>
  </si>
  <si>
    <t>Jérémie 46</t>
  </si>
  <si>
    <t>https://www.bible.com/fr/audio-bible/152/JER.46.S21</t>
  </si>
  <si>
    <t>Jérémie 47</t>
  </si>
  <si>
    <t>Jérémie 48</t>
  </si>
  <si>
    <t>https://www.bible.com/fr/audio-bible/152/JER.48.S21</t>
  </si>
  <si>
    <t>Jérémie 49</t>
  </si>
  <si>
    <t>https://www.bible.com/fr/audio-bible/152/JER.49.S21</t>
  </si>
  <si>
    <t>Jérémie 50</t>
  </si>
  <si>
    <t>Jérémie 51</t>
  </si>
  <si>
    <t>https://www.bible.com/fr/audio-bible/152/JER.51.S21</t>
  </si>
  <si>
    <t>Jérémie 52</t>
  </si>
  <si>
    <t>https://www.bible.com/fr/audio-bible/152/JER.52.S21</t>
  </si>
  <si>
    <t>Lamentations 1</t>
  </si>
  <si>
    <t>Lamentations 2</t>
  </si>
  <si>
    <t>https://www.bible.com/fr/audio-bible/152/LAM.2.S21</t>
  </si>
  <si>
    <t>Lamentations 3</t>
  </si>
  <si>
    <t>Lamentations 4</t>
  </si>
  <si>
    <t>https://www.bible.com/fr/audio-bible/152/LAM.4.S21</t>
  </si>
  <si>
    <t>Lamentations 5</t>
  </si>
  <si>
    <t>Ézéchiel 1</t>
  </si>
  <si>
    <t>https://www.bible.com/fr/audio-bible/152/EZK.1.S21</t>
  </si>
  <si>
    <t>Ézéchiel 2</t>
  </si>
  <si>
    <t>https://www.bible.com/fr/audio-bible/152/EZK.2.S21</t>
  </si>
  <si>
    <t>Ézéchiel 3</t>
  </si>
  <si>
    <t>Ézéchiel 4</t>
  </si>
  <si>
    <t>https://www.bible.com/fr/audio-bible/152/EZK.4.S21</t>
  </si>
  <si>
    <t>Ézéchiel 5</t>
  </si>
  <si>
    <t>Ézéchiel 6</t>
  </si>
  <si>
    <t>https://www.bible.com/fr/audio-bible/152/EZK.6.S21</t>
  </si>
  <si>
    <t>Ézéchiel 7</t>
  </si>
  <si>
    <t>https://www.bible.com/fr/audio-bible/152/EZK.7.S21</t>
  </si>
  <si>
    <t>Ézéchiel 8</t>
  </si>
  <si>
    <t>Ézéchiel 9</t>
  </si>
  <si>
    <t>https://www.bible.com/fr/audio-bible/152/EZK.9.S21</t>
  </si>
  <si>
    <t>Ézéchiel 10</t>
  </si>
  <si>
    <t>Ézéchiel 11</t>
  </si>
  <si>
    <t>https://www.bible.com/fr/audio-bible/152/EZK.11.S21</t>
  </si>
  <si>
    <t>Ézéchiel 12</t>
  </si>
  <si>
    <t>https://www.bible.com/fr/audio-bible/152/EZK.12.S21</t>
  </si>
  <si>
    <t>Ézéchiel 13</t>
  </si>
  <si>
    <t>Ézéchiel 14</t>
  </si>
  <si>
    <t>https://www.bible.com/fr/audio-bible/152/EZK.14.S21</t>
  </si>
  <si>
    <t>Ézéchiel 15</t>
  </si>
  <si>
    <t>https://www.bible.com/fr/audio-bible/152/EZK.15.S21</t>
  </si>
  <si>
    <t>Ézéchiel 16</t>
  </si>
  <si>
    <t>Ézéchiel 17</t>
  </si>
  <si>
    <t>https://www.bible.com/fr/audio-bible/152/EZK.17.S21</t>
  </si>
  <si>
    <t>Ézéchiel 18</t>
  </si>
  <si>
    <t>Ézéchiel 19</t>
  </si>
  <si>
    <t>https://www.bible.com/fr/audio-bible/152/EZK.19.S21</t>
  </si>
  <si>
    <t>Ézéchiel 20</t>
  </si>
  <si>
    <t>https://www.bible.com/fr/audio-bible/152/EZK.20.S21</t>
  </si>
  <si>
    <t>Ézéchiel 21</t>
  </si>
  <si>
    <t>Ézéchiel 22</t>
  </si>
  <si>
    <t>https://www.bible.com/fr/audio-bible/152/EZK.22.S21</t>
  </si>
  <si>
    <t>Ézéchiel 23</t>
  </si>
  <si>
    <t>Ézéchiel 24</t>
  </si>
  <si>
    <t>https://www.bible.com/fr/audio-bible/152/EZK.24.S21</t>
  </si>
  <si>
    <t>Ézéchiel 25</t>
  </si>
  <si>
    <t>https://www.bible.com/fr/audio-bible/152/EZK.25.S21</t>
  </si>
  <si>
    <t>Ézéchiel 26</t>
  </si>
  <si>
    <t>Ézéchiel 27</t>
  </si>
  <si>
    <t>https://www.bible.com/fr/audio-bible/152/EZK.27.S21</t>
  </si>
  <si>
    <t>Ézéchiel 28</t>
  </si>
  <si>
    <t>Ézéchiel 29</t>
  </si>
  <si>
    <t>https://www.bible.com/fr/audio-bible/152/EZK.29.S21</t>
  </si>
  <si>
    <t>Ézéchiel 30</t>
  </si>
  <si>
    <t>https://www.bible.com/fr/audio-bible/152/EZK.30.S21</t>
  </si>
  <si>
    <t>Ézéchiel 31</t>
  </si>
  <si>
    <t>Ézéchiel 32</t>
  </si>
  <si>
    <t>https://www.bible.com/fr/audio-bible/152/EZK.32.S21</t>
  </si>
  <si>
    <t>Ézéchiel 33</t>
  </si>
  <si>
    <t>Ézéchiel 34</t>
  </si>
  <si>
    <t>https://www.bible.com/fr/audio-bible/152/EZK.34.S21</t>
  </si>
  <si>
    <t>Ézéchiel 35</t>
  </si>
  <si>
    <t>https://www.bible.com/fr/audio-bible/152/EZK.35.S21</t>
  </si>
  <si>
    <t>Ézéchiel 36</t>
  </si>
  <si>
    <t>Ézéchiel 37</t>
  </si>
  <si>
    <t>https://www.bible.com/fr/audio-bible/152/EZK.37.S21</t>
  </si>
  <si>
    <t>Ézéchiel 38</t>
  </si>
  <si>
    <t>Ézéchiel 39</t>
  </si>
  <si>
    <t>https://www.bible.com/fr/audio-bible/152/EZK.39.S21</t>
  </si>
  <si>
    <t>Ézéchiel 40</t>
  </si>
  <si>
    <t>https://www.bible.com/fr/audio-bible/152/EZK.40.S21</t>
  </si>
  <si>
    <t>Ézéchiel 41</t>
  </si>
  <si>
    <t>Ézéchiel 42</t>
  </si>
  <si>
    <t>https://www.bible.com/fr/audio-bible/152/EZK.42.S21</t>
  </si>
  <si>
    <t>Ézéchiel 43</t>
  </si>
  <si>
    <t>https://www.bible.com/fr/audio-bible/152/EZK.43.S21</t>
  </si>
  <si>
    <t>Ézéchiel 44</t>
  </si>
  <si>
    <t>Ézéchiel 45</t>
  </si>
  <si>
    <t>https://www.bible.com/fr/audio-bible/152/EZK.45.S21</t>
  </si>
  <si>
    <t>Ézéchiel 46</t>
  </si>
  <si>
    <t>Ézéchiel 47</t>
  </si>
  <si>
    <t>https://www.bible.com/fr/audio-bible/152/EZK.47.S21</t>
  </si>
  <si>
    <t>Ézéchiel 48</t>
  </si>
  <si>
    <t>https://www.bible.com/fr/audio-bible/152/EZK.48.S21</t>
  </si>
  <si>
    <t>Daniel 1</t>
  </si>
  <si>
    <t>Daniel 2</t>
  </si>
  <si>
    <t>https://www.bible.com/fr/audio-bible/152/DAN.2.S21</t>
  </si>
  <si>
    <t>Daniel 3</t>
  </si>
  <si>
    <t>Daniel 4</t>
  </si>
  <si>
    <t>https://www.bible.com/fr/audio-bible/152/DAN.4.S21</t>
  </si>
  <si>
    <t>Daniel 5</t>
  </si>
  <si>
    <t>https://www.bible.com/fr/audio-bible/152/DAN.5.S21</t>
  </si>
  <si>
    <t>Daniel 6</t>
  </si>
  <si>
    <t>Daniel 7</t>
  </si>
  <si>
    <t>https://www.bible.com/fr/audio-bible/152/DAN.7.S21</t>
  </si>
  <si>
    <t>Daniel 8</t>
  </si>
  <si>
    <t>Daniel 9</t>
  </si>
  <si>
    <t>https://www.bible.com/fr/audio-bible/152/DAN.9.S21</t>
  </si>
  <si>
    <t>Daniel 10</t>
  </si>
  <si>
    <t>https://www.bible.com/fr/audio-bible/152/DAN.10.S21</t>
  </si>
  <si>
    <t>Daniel 11</t>
  </si>
  <si>
    <t>Daniel 12</t>
  </si>
  <si>
    <t>https://www.bible.com/fr/audio-bible/152/DAN.12.S21</t>
  </si>
  <si>
    <t>Osée 1</t>
  </si>
  <si>
    <t>Osée 2</t>
  </si>
  <si>
    <t>https://www.bible.com/fr/audio-bible/152/HOS.2.S21</t>
  </si>
  <si>
    <t>Osée 3</t>
  </si>
  <si>
    <t>https://www.bible.com/fr/audio-bible/152/HOS.3.S21</t>
  </si>
  <si>
    <t>Osée 4</t>
  </si>
  <si>
    <t>Osée 5</t>
  </si>
  <si>
    <t>https://www.bible.com/fr/audio-bible/152/HOS.5.S21</t>
  </si>
  <si>
    <t>Osée 6</t>
  </si>
  <si>
    <t>Osée 7</t>
  </si>
  <si>
    <t>https://www.bible.com/fr/audio-bible/152/HOS.7.S21</t>
  </si>
  <si>
    <t>Osée 8</t>
  </si>
  <si>
    <t>https://www.bible.com/fr/audio-bible/152/HOS.8.S21</t>
  </si>
  <si>
    <t>Osée 9</t>
  </si>
  <si>
    <t>Osée 10</t>
  </si>
  <si>
    <t>https://www.bible.com/fr/audio-bible/152/HOS.10.S21</t>
  </si>
  <si>
    <t>Osée 11</t>
  </si>
  <si>
    <t>https://www.bible.com/fr/audio-bible/152/HOS.11.S21</t>
  </si>
  <si>
    <t>Osée 12</t>
  </si>
  <si>
    <t>Osée 13</t>
  </si>
  <si>
    <t>https://www.bible.com/fr/audio-bible/152/HOS.13.S21</t>
  </si>
  <si>
    <t>Osée 14</t>
  </si>
  <si>
    <t>Joël 1</t>
  </si>
  <si>
    <t>https://www.bible.com/fr/audio-bible/152/JOL.1.S21</t>
  </si>
  <si>
    <t>Joël 2</t>
  </si>
  <si>
    <t>https://www.bible.com/fr/audio-bible/152/JOL.2.S21</t>
  </si>
  <si>
    <t>Joël 3</t>
  </si>
  <si>
    <t>Amos 1</t>
  </si>
  <si>
    <t>https://www.bible.com/fr/audio-bible/152/AMO.1.S21</t>
  </si>
  <si>
    <t>Amos 2</t>
  </si>
  <si>
    <t>Amos 3</t>
  </si>
  <si>
    <t>https://www.bible.com/fr/audio-bible/152/AMO.3.S21</t>
  </si>
  <si>
    <t>Amos 4</t>
  </si>
  <si>
    <t>https://www.bible.com/fr/audio-bible/152/AMO.4.S21</t>
  </si>
  <si>
    <t>Amos 5</t>
  </si>
  <si>
    <t>Amos 6</t>
  </si>
  <si>
    <t>https://www.bible.com/fr/audio-bible/152/AMO.6.S21</t>
  </si>
  <si>
    <t>Amos 7</t>
  </si>
  <si>
    <t>Amos 8</t>
  </si>
  <si>
    <t>https://www.bible.com/fr/audio-bible/152/AMO.8.S21</t>
  </si>
  <si>
    <t>Amos 9</t>
  </si>
  <si>
    <t>https://www.bible.com/fr/audio-bible/152/AMO.9.S21</t>
  </si>
  <si>
    <t>Abdias 1</t>
  </si>
  <si>
    <t>Jonas 1</t>
  </si>
  <si>
    <t>https://www.bible.com/fr/audio-bible/152/JON.1.S21</t>
  </si>
  <si>
    <t>Jonas 2</t>
  </si>
  <si>
    <t>Jonas 3</t>
  </si>
  <si>
    <t>https://www.bible.com/fr/audio-bible/152/JON.3.S21</t>
  </si>
  <si>
    <t>Jonas 4</t>
  </si>
  <si>
    <t>https://www.bible.com/fr/audio-bible/152/JON.4.S21</t>
  </si>
  <si>
    <t>Michée 1</t>
  </si>
  <si>
    <t>Michée 2</t>
  </si>
  <si>
    <t>https://www.bible.com/fr/audio-bible/152/MIC.2.S21</t>
  </si>
  <si>
    <t>Michée 3</t>
  </si>
  <si>
    <t>Michée 4</t>
  </si>
  <si>
    <t>https://www.bible.com/fr/audio-bible/152/MIC.4.S21</t>
  </si>
  <si>
    <t>Michée 5</t>
  </si>
  <si>
    <t>https://www.bible.com/fr/audio-bible/152/MIC.5.S21</t>
  </si>
  <si>
    <t>Michée 6</t>
  </si>
  <si>
    <t>Michée 7</t>
  </si>
  <si>
    <t>https://www.bible.com/fr/audio-bible/152/MIC.7.S21</t>
  </si>
  <si>
    <t>Nahum 1</t>
  </si>
  <si>
    <t>https://www.bible.com/fr/audio-bible/152/NAM.1.S21</t>
  </si>
  <si>
    <t>Nahum 2</t>
  </si>
  <si>
    <t>Nahum 3</t>
  </si>
  <si>
    <t>https://www.bible.com/fr/audio-bible/152/NAM.3.S21</t>
  </si>
  <si>
    <t>Habacuc 1</t>
  </si>
  <si>
    <t>Habacuc 2</t>
  </si>
  <si>
    <t>https://www.bible.com/fr/audio-bible/152/HAB.2.S21</t>
  </si>
  <si>
    <t>Habacuc 3</t>
  </si>
  <si>
    <t>https://www.bible.com/fr/audio-bible/152/HAB.3.S21</t>
  </si>
  <si>
    <t>Sophonie 1</t>
  </si>
  <si>
    <t>Sophonie 2</t>
  </si>
  <si>
    <t>https://www.bible.com/fr/audio-bible/152/ZEP.2.S21</t>
  </si>
  <si>
    <t>Sophonie 3</t>
  </si>
  <si>
    <t>Aggée 1</t>
  </si>
  <si>
    <t>https://www.bible.com/fr/audio-bible/152/HAG.1.S21</t>
  </si>
  <si>
    <t>Aggée 2</t>
  </si>
  <si>
    <t>https://www.bible.com/fr/audio-bible/152/HAG.2.S21</t>
  </si>
  <si>
    <t>Zacharie 1</t>
  </si>
  <si>
    <t>Zacharie 2</t>
  </si>
  <si>
    <t>https://www.bible.com/fr/audio-bible/152/ZEC.2.S21</t>
  </si>
  <si>
    <t>Zacharie 3</t>
  </si>
  <si>
    <t>Zacharie 4</t>
  </si>
  <si>
    <t>https://www.bible.com/fr/audio-bible/152/ZEC.4.S21</t>
  </si>
  <si>
    <t>Zacharie 5</t>
  </si>
  <si>
    <t>https://www.bible.com/fr/audio-bible/152/ZEC.5.S21</t>
  </si>
  <si>
    <t>Zacharie 6</t>
  </si>
  <si>
    <t>Zacharie 7</t>
  </si>
  <si>
    <t>https://www.bible.com/fr/audio-bible/152/ZEC.7.S21</t>
  </si>
  <si>
    <t>Zacharie 8</t>
  </si>
  <si>
    <t>Zacharie 9</t>
  </si>
  <si>
    <t>https://www.bible.com/fr/audio-bible/152/ZEC.9.S21</t>
  </si>
  <si>
    <t>Zacharie 10</t>
  </si>
  <si>
    <t>https://www.bible.com/fr/audio-bible/152/ZEC.10.S21</t>
  </si>
  <si>
    <t>Zacharie 11</t>
  </si>
  <si>
    <t>Zacharie 12</t>
  </si>
  <si>
    <t>https://www.bible.com/fr/audio-bible/152/ZEC.12.S21</t>
  </si>
  <si>
    <t>Zacharie 13</t>
  </si>
  <si>
    <t>Zacharie 14</t>
  </si>
  <si>
    <t>https://www.bible.com/fr/audio-bible/152/ZEC.14.S21</t>
  </si>
  <si>
    <t>Malachie 1</t>
  </si>
  <si>
    <t>https://www.bible.com/fr/audio-bible/152/MAL.1.S21</t>
  </si>
  <si>
    <t>Malachie 2</t>
  </si>
  <si>
    <t>Malachie 3</t>
  </si>
  <si>
    <t>https://www.bible.com/fr/audio-bible/152/MAL.3.S21</t>
  </si>
  <si>
    <t>Malachie 4</t>
  </si>
  <si>
    <t>https://www.bible.com/fr/audio-bible/152/MAL.4.S21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</si>
</sst>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3"/>
      <name val="Carlito"/>
    </font>
    <font>
      <b/>
      <sz val="14"/>
      <name val="Carlito"/>
    </font>
    <font>
      <b/>
      <sz val="15"/>
      <name val="Carlito"/>
    </font>
    <font>
      <b/>
      <sz val="12"/>
      <color rgb="FFFFFFFF"/>
      <name val="Carlito"/>
    </font>
    <font>
      <b/>
      <i/>
      <sz val="11"/>
      <name val="Carlito"/>
    </font>
    <font>
      <b/>
      <sz val="10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3" fillId="3" borderId="1" xfId="0" applyFont="1" applyFill="1" applyBorder="1" applyAlignment="1">
      <alignment vertical="top"/>
    </xf>
    <xf numFmtId="0" fontId="0" fillId="0" borderId="3" xfId="0" applyBorder="1" applyAlignment="1">
      <alignment wrapText="1"/>
    </xf>
    <xf numFmtId="0" fontId="3" fillId="3" borderId="4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" fillId="4" borderId="0" xfId="0" applyFont="1" applyFill="1" applyAlignment="1">
      <alignment horizontal="center" vertical="center"/>
    </xf>
    <xf numFmtId="0" fontId="3" fillId="5" borderId="0" xfId="0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1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right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22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23" xfId="0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0" fillId="14" borderId="22" xfId="0" applyFill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14" borderId="23" xfId="0" applyFill="1" applyBorder="1" applyAlignment="1">
      <alignment horizontal="left" vertical="center" wrapText="1"/>
    </xf>
    <xf numFmtId="0" fontId="0" fillId="14" borderId="24" xfId="0" applyFill="1" applyBorder="1" applyAlignment="1">
      <alignment horizontal="left" vertical="center" wrapText="1"/>
    </xf>
    <xf numFmtId="0" fontId="0" fillId="14" borderId="25" xfId="0" applyFill="1" applyBorder="1" applyAlignment="1">
      <alignment horizontal="left" vertical="center" wrapText="1"/>
    </xf>
    <xf numFmtId="0" fontId="0" fillId="14" borderId="26" xfId="0" applyFill="1" applyBorder="1" applyAlignment="1">
      <alignment horizontal="left" vertical="center" wrapText="1"/>
    </xf>
    <xf numFmtId="0" fontId="3" fillId="7" borderId="19" xfId="0" applyFont="1" applyFill="1" applyBorder="1" applyAlignment="1">
      <alignment horizontal="right"/>
    </xf>
    <xf numFmtId="0" fontId="3" fillId="7" borderId="20" xfId="0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3" fillId="13" borderId="22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23" xfId="0" applyFont="1" applyFill="1" applyBorder="1" applyAlignment="1">
      <alignment horizontal="center"/>
    </xf>
    <xf numFmtId="0" fontId="0" fillId="15" borderId="22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5" borderId="23" xfId="0" applyFill="1" applyBorder="1" applyAlignment="1">
      <alignment vertical="top" wrapText="1"/>
    </xf>
    <xf numFmtId="0" fontId="0" fillId="15" borderId="24" xfId="0" applyFill="1" applyBorder="1" applyAlignment="1">
      <alignment vertical="top" wrapText="1"/>
    </xf>
    <xf numFmtId="0" fontId="0" fillId="15" borderId="25" xfId="0" applyFill="1" applyBorder="1" applyAlignment="1">
      <alignment vertical="top" wrapText="1"/>
    </xf>
    <xf numFmtId="0" fontId="0" fillId="15" borderId="26" xfId="0" applyFill="1" applyBorder="1" applyAlignment="1">
      <alignment vertical="top" wrapText="1"/>
    </xf>
    <xf numFmtId="0" fontId="10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DDEBF7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hematiqueFinal" displayName="PlanThematiqueFinal" ref="A1:L366" totalsRowShown="0">
  <tableColumns count="12">
    <tableColumn id="1" xr3:uid="{00000000-0010-0000-0000-000001000000}" name="Jour"/>
    <tableColumn id="2" xr3:uid="{00000000-0010-0000-0000-000002000000}" name="Date"/>
    <tableColumn id="3" xr3:uid="{00000000-0010-0000-0000-000003000000}" name="Semaine"/>
    <tableColumn id="4" xr3:uid="{00000000-0010-0000-0000-000004000000}" name="Ancien Testament"/>
    <tableColumn id="5" xr3:uid="{00000000-0010-0000-0000-000005000000}" name="Nouveau Testament"/>
    <tableColumn id="6" xr3:uid="{00000000-0010-0000-0000-000006000000}" name="Type lecture NT"/>
    <tableColumn id="7" xr3:uid="{00000000-0010-0000-0000-000007000000}" name="Passage miroir conseillé"/>
    <tableColumn id="8" xr3:uid="{00000000-0010-0000-0000-000008000000}" name="Thème commun"/>
    <tableColumn id="9" xr3:uid="{00000000-0010-0000-0000-000009000000}" name="Nature du lien"/>
    <tableColumn id="10" xr3:uid="{00000000-0010-0000-0000-00000A000000}" name="Lien théologique"/>
    <tableColumn id="11" xr3:uid="{00000000-0010-0000-0000-00000B000000}" name="Suivi"/>
    <tableColumn id="12" xr3:uid="{00000000-0010-0000-0000-00000C000000}" name="Notes personnel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vertureNTFinal" displayName="CouvertureNTFinal" ref="A1:F261" totalsRowShown="0">
  <tableColumns count="6">
    <tableColumn id="1" xr3:uid="{00000000-0010-0000-0100-000001000000}" name="Livre NT"/>
    <tableColumn id="2" xr3:uid="{00000000-0010-0000-0100-000002000000}" name="Chapitre"/>
    <tableColumn id="3" xr3:uid="{00000000-0010-0000-0100-000003000000}" name="Jour attribué"/>
    <tableColumn id="4" xr3:uid="{00000000-0010-0000-0100-000004000000}" name="AT associé"/>
    <tableColumn id="5" xr3:uid="{00000000-0010-0000-0100-000005000000}" name="Lecture NT intégrale"/>
    <tableColumn id="6" xr3:uid="{00000000-0010-0000-0100-000006000000}" name="Miroir si nécess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dexThemesFinal" displayName="IndexThemesFinal" ref="A1:C58" totalsRowShown="0">
  <tableColumns count="3">
    <tableColumn id="1" xr3:uid="{00000000-0010-0000-0200-000001000000}" name="Thème"/>
    <tableColumn id="2" xr3:uid="{00000000-0010-0000-0200-000002000000}" name="Code interne"/>
    <tableColumn id="3" xr3:uid="{00000000-0010-0000-0200-000003000000}" name="Type de relation privilégi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workbookViewId="0"/>
  </sheetViews>
  <sheetFormatPr baseColWidth="10" defaultColWidth="8.796875" defaultRowHeight="13.8"/>
  <cols>
    <col min="1" max="1" width="7" customWidth="1"/>
    <col min="2" max="3" width="9" customWidth="1"/>
    <col min="4" max="4" width="25" customWidth="1"/>
    <col min="5" max="5" width="22" customWidth="1"/>
    <col min="6" max="6" width="18" customWidth="1"/>
    <col min="7" max="7" width="25" customWidth="1"/>
    <col min="8" max="8" width="28" customWidth="1"/>
    <col min="9" max="9" width="29" customWidth="1"/>
    <col min="10" max="10" width="67" customWidth="1"/>
    <col min="11" max="11" width="14" customWidth="1"/>
    <col min="12" max="12" width="32" customWidth="1"/>
    <col min="13" max="14" width="18" customWidth="1"/>
    <col min="15" max="15" width="20" customWidth="1"/>
  </cols>
  <sheetData>
    <row r="1" spans="1:15" ht="25.6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23" t="s">
        <v>12</v>
      </c>
      <c r="N1" s="24" t="s">
        <v>13</v>
      </c>
      <c r="O1" s="25" t="s">
        <v>14</v>
      </c>
    </row>
    <row r="2" spans="1:15" ht="27.6">
      <c r="A2" s="9">
        <v>1</v>
      </c>
      <c r="B2" s="5" t="s">
        <v>15</v>
      </c>
      <c r="C2" s="5">
        <v>1</v>
      </c>
      <c r="D2" s="4" t="s">
        <v>16</v>
      </c>
      <c r="E2" s="4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4" t="s">
        <v>22</v>
      </c>
      <c r="K2" s="4" t="s">
        <v>23</v>
      </c>
      <c r="L2" s="10"/>
      <c r="M2" s="26" t="str">
        <f>HYPERLINK("https://www.bible.com/fr/audio-bible/152/GEN.1.S21","▶ Écouter AT")</f>
        <v>▶ Écouter AT</v>
      </c>
      <c r="N2" s="22" t="str">
        <f>HYPERLINK("https://www.bible.com/fr/audio-bible/152/JHN.1.S21","▶ Écouter NT")</f>
        <v>▶ Écouter NT</v>
      </c>
      <c r="O2" s="27"/>
    </row>
    <row r="3" spans="1:15" ht="27.6">
      <c r="A3" s="9">
        <v>2</v>
      </c>
      <c r="B3" s="5" t="s">
        <v>24</v>
      </c>
      <c r="C3" s="5">
        <v>1</v>
      </c>
      <c r="D3" s="4" t="s">
        <v>25</v>
      </c>
      <c r="E3" s="4" t="s">
        <v>26</v>
      </c>
      <c r="F3" s="5" t="s">
        <v>27</v>
      </c>
      <c r="G3" s="5" t="s">
        <v>28</v>
      </c>
      <c r="H3" s="5" t="s">
        <v>29</v>
      </c>
      <c r="I3" s="5" t="s">
        <v>18</v>
      </c>
      <c r="J3" s="4" t="s">
        <v>30</v>
      </c>
      <c r="K3" s="4" t="s">
        <v>23</v>
      </c>
      <c r="L3" s="10"/>
      <c r="M3" s="26" t="str">
        <f>HYPERLINK("https://www.bible.com/fr/audio-bible/152/GEN.3.S21","▶ Écouter AT")</f>
        <v>▶ Écouter AT</v>
      </c>
      <c r="N3" s="22" t="str">
        <f>HYPERLINK("https://www.bible.com/fr/audio-bible/152/ROM.5.S21","▶ Écouter NT")</f>
        <v>▶ Écouter NT</v>
      </c>
      <c r="O3" s="27" t="str">
        <f>HYPERLINK("https://www.bible.com/fr/audio-bible/152/EPH.2.S21","▶ Écouter miroir")</f>
        <v>▶ Écouter miroir</v>
      </c>
    </row>
    <row r="4" spans="1:15">
      <c r="A4" s="9">
        <v>3</v>
      </c>
      <c r="B4" s="5" t="s">
        <v>31</v>
      </c>
      <c r="C4" s="5">
        <v>1</v>
      </c>
      <c r="D4" s="4" t="s">
        <v>32</v>
      </c>
      <c r="E4" s="4" t="s">
        <v>33</v>
      </c>
      <c r="F4" s="5" t="s">
        <v>18</v>
      </c>
      <c r="G4" s="5" t="s">
        <v>19</v>
      </c>
      <c r="H4" s="5" t="s">
        <v>34</v>
      </c>
      <c r="I4" s="5" t="s">
        <v>18</v>
      </c>
      <c r="J4" s="4" t="s">
        <v>35</v>
      </c>
      <c r="K4" s="4" t="s">
        <v>23</v>
      </c>
      <c r="L4" s="10"/>
      <c r="M4" s="26" t="str">
        <f>HYPERLINK("https://www.bible.com/fr/audio-bible/152/GEN.6.S21","▶ Écouter AT")</f>
        <v>▶ Écouter AT</v>
      </c>
      <c r="N4" s="22" t="str">
        <f>HYPERLINK("https://www.bible.com/fr/audio-bible/152/HEB.8.S21","▶ Écouter NT")</f>
        <v>▶ Écouter NT</v>
      </c>
      <c r="O4" s="27"/>
    </row>
    <row r="5" spans="1:15" ht="27.6">
      <c r="A5" s="9">
        <v>4</v>
      </c>
      <c r="B5" s="5" t="s">
        <v>36</v>
      </c>
      <c r="C5" s="5">
        <v>1</v>
      </c>
      <c r="D5" s="4" t="s">
        <v>37</v>
      </c>
      <c r="E5" s="4" t="s">
        <v>38</v>
      </c>
      <c r="F5" s="5" t="s">
        <v>27</v>
      </c>
      <c r="G5" s="5" t="s">
        <v>19</v>
      </c>
      <c r="H5" s="5" t="s">
        <v>39</v>
      </c>
      <c r="I5" s="5" t="s">
        <v>40</v>
      </c>
      <c r="J5" s="4" t="s">
        <v>41</v>
      </c>
      <c r="K5" s="4" t="s">
        <v>23</v>
      </c>
      <c r="L5" s="10"/>
      <c r="M5" s="26" t="str">
        <f>HYPERLINK("https://www.bible.com/fr/audio-bible/152/GEN.8.S21","▶ Écouter AT")</f>
        <v>▶ Écouter AT</v>
      </c>
      <c r="N5" s="22" t="str">
        <f>HYPERLINK("https://www.bible.com/fr/audio-bible/152/ACT.15.S21","▶ Écouter NT")</f>
        <v>▶ Écouter NT</v>
      </c>
      <c r="O5" s="27"/>
    </row>
    <row r="6" spans="1:15" ht="27.6">
      <c r="A6" s="9">
        <v>5</v>
      </c>
      <c r="B6" s="5" t="s">
        <v>42</v>
      </c>
      <c r="C6" s="5">
        <v>1</v>
      </c>
      <c r="D6" s="4" t="s">
        <v>43</v>
      </c>
      <c r="E6" s="4" t="s">
        <v>44</v>
      </c>
      <c r="F6" s="5" t="s">
        <v>27</v>
      </c>
      <c r="G6" s="5" t="s">
        <v>19</v>
      </c>
      <c r="H6" s="5" t="s">
        <v>39</v>
      </c>
      <c r="I6" s="5" t="s">
        <v>40</v>
      </c>
      <c r="J6" s="4" t="s">
        <v>41</v>
      </c>
      <c r="K6" s="4" t="s">
        <v>23</v>
      </c>
      <c r="L6" s="10"/>
      <c r="M6" s="26" t="str">
        <f>HYPERLINK("https://www.bible.com/fr/audio-bible/152/GEN.11.S21","▶ Écouter AT")</f>
        <v>▶ Écouter AT</v>
      </c>
      <c r="N6" s="22" t="str">
        <f>HYPERLINK("https://www.bible.com/fr/audio-bible/152/ACT.13.S21","▶ Écouter NT")</f>
        <v>▶ Écouter NT</v>
      </c>
      <c r="O6" s="27"/>
    </row>
    <row r="7" spans="1:15" ht="27.6">
      <c r="A7" s="9">
        <v>6</v>
      </c>
      <c r="B7" s="5" t="s">
        <v>45</v>
      </c>
      <c r="C7" s="5">
        <v>1</v>
      </c>
      <c r="D7" s="4" t="s">
        <v>46</v>
      </c>
      <c r="E7" s="4" t="s">
        <v>47</v>
      </c>
      <c r="F7" s="5" t="s">
        <v>27</v>
      </c>
      <c r="G7" s="5" t="s">
        <v>19</v>
      </c>
      <c r="H7" s="5" t="s">
        <v>39</v>
      </c>
      <c r="I7" s="5" t="s">
        <v>40</v>
      </c>
      <c r="J7" s="4" t="s">
        <v>41</v>
      </c>
      <c r="K7" s="4" t="s">
        <v>23</v>
      </c>
      <c r="L7" s="10"/>
      <c r="M7" s="26" t="str">
        <f>HYPERLINK("https://www.bible.com/fr/audio-bible/152/GEN.13.S21","▶ Écouter AT")</f>
        <v>▶ Écouter AT</v>
      </c>
      <c r="N7" s="22" t="str">
        <f>HYPERLINK("https://www.bible.com/fr/audio-bible/152/MAT.15.S21","▶ Écouter NT")</f>
        <v>▶ Écouter NT</v>
      </c>
      <c r="O7" s="27"/>
    </row>
    <row r="8" spans="1:15" ht="27.6">
      <c r="A8" s="9">
        <v>7</v>
      </c>
      <c r="B8" s="5" t="s">
        <v>48</v>
      </c>
      <c r="C8" s="5">
        <v>1</v>
      </c>
      <c r="D8" s="4" t="s">
        <v>49</v>
      </c>
      <c r="E8" s="4" t="s">
        <v>50</v>
      </c>
      <c r="F8" s="5" t="s">
        <v>27</v>
      </c>
      <c r="G8" s="5" t="s">
        <v>19</v>
      </c>
      <c r="H8" s="5" t="s">
        <v>39</v>
      </c>
      <c r="I8" s="5" t="s">
        <v>40</v>
      </c>
      <c r="J8" s="4" t="s">
        <v>41</v>
      </c>
      <c r="K8" s="4" t="s">
        <v>23</v>
      </c>
      <c r="L8" s="10"/>
      <c r="M8" s="26" t="str">
        <f>HYPERLINK("https://www.bible.com/fr/audio-bible/152/GEN.16.S21","▶ Écouter AT")</f>
        <v>▶ Écouter AT</v>
      </c>
      <c r="N8" s="22" t="str">
        <f>HYPERLINK("https://www.bible.com/fr/audio-bible/152/MAT.14.S21","▶ Écouter NT")</f>
        <v>▶ Écouter NT</v>
      </c>
      <c r="O8" s="27"/>
    </row>
    <row r="9" spans="1:15" ht="27.6">
      <c r="A9" s="9">
        <v>8</v>
      </c>
      <c r="B9" s="5" t="s">
        <v>51</v>
      </c>
      <c r="C9" s="5">
        <v>2</v>
      </c>
      <c r="D9" s="4" t="s">
        <v>52</v>
      </c>
      <c r="E9" s="4" t="s">
        <v>28</v>
      </c>
      <c r="F9" s="5" t="s">
        <v>18</v>
      </c>
      <c r="G9" s="5" t="s">
        <v>19</v>
      </c>
      <c r="H9" s="5" t="s">
        <v>29</v>
      </c>
      <c r="I9" s="5" t="s">
        <v>18</v>
      </c>
      <c r="J9" s="4" t="s">
        <v>30</v>
      </c>
      <c r="K9" s="4" t="s">
        <v>23</v>
      </c>
      <c r="L9" s="10"/>
      <c r="M9" s="26" t="str">
        <f>HYPERLINK("https://www.bible.com/fr/audio-bible/152/GEN.18.S21","▶ Écouter AT")</f>
        <v>▶ Écouter AT</v>
      </c>
      <c r="N9" s="22" t="str">
        <f>HYPERLINK("https://www.bible.com/fr/audio-bible/152/EPH.2.S21","▶ Écouter NT")</f>
        <v>▶ Écouter NT</v>
      </c>
      <c r="O9" s="27"/>
    </row>
    <row r="10" spans="1:15" ht="27.6">
      <c r="A10" s="9">
        <v>9</v>
      </c>
      <c r="B10" s="5" t="s">
        <v>53</v>
      </c>
      <c r="C10" s="5">
        <v>2</v>
      </c>
      <c r="D10" s="4" t="s">
        <v>54</v>
      </c>
      <c r="E10" s="4" t="s">
        <v>55</v>
      </c>
      <c r="F10" s="5" t="s">
        <v>18</v>
      </c>
      <c r="G10" s="5" t="s">
        <v>19</v>
      </c>
      <c r="H10" s="5" t="s">
        <v>56</v>
      </c>
      <c r="I10" s="5" t="s">
        <v>57</v>
      </c>
      <c r="J10" s="4" t="s">
        <v>58</v>
      </c>
      <c r="K10" s="4" t="s">
        <v>23</v>
      </c>
      <c r="L10" s="10"/>
      <c r="M10" s="26" t="str">
        <f>HYPERLINK("https://www.bible.com/fr/audio-bible/152/GEN.21.S21","▶ Écouter AT")</f>
        <v>▶ Écouter AT</v>
      </c>
      <c r="N10" s="22" t="str">
        <f>HYPERLINK("https://www.bible.com/fr/audio-bible/152/HEB.10.S21","▶ Écouter NT")</f>
        <v>▶ Écouter NT</v>
      </c>
      <c r="O10" s="27"/>
    </row>
    <row r="11" spans="1:15">
      <c r="A11" s="9">
        <v>10</v>
      </c>
      <c r="B11" s="5" t="s">
        <v>59</v>
      </c>
      <c r="C11" s="5">
        <v>2</v>
      </c>
      <c r="D11" s="4" t="s">
        <v>60</v>
      </c>
      <c r="E11" s="4" t="s">
        <v>33</v>
      </c>
      <c r="F11" s="5" t="s">
        <v>18</v>
      </c>
      <c r="G11" s="5" t="s">
        <v>19</v>
      </c>
      <c r="H11" s="5" t="s">
        <v>34</v>
      </c>
      <c r="I11" s="5" t="s">
        <v>18</v>
      </c>
      <c r="J11" s="4" t="s">
        <v>35</v>
      </c>
      <c r="K11" s="4" t="s">
        <v>23</v>
      </c>
      <c r="L11" s="10"/>
      <c r="M11" s="26" t="str">
        <f>HYPERLINK("https://www.bible.com/fr/audio-bible/152/GEN.23.S21","▶ Écouter AT")</f>
        <v>▶ Écouter AT</v>
      </c>
      <c r="N11" s="22" t="str">
        <f>HYPERLINK("https://www.bible.com/fr/audio-bible/152/HEB.8.S21","▶ Écouter NT")</f>
        <v>▶ Écouter NT</v>
      </c>
      <c r="O11" s="27"/>
    </row>
    <row r="12" spans="1:15">
      <c r="A12" s="9">
        <v>11</v>
      </c>
      <c r="B12" s="5" t="s">
        <v>61</v>
      </c>
      <c r="C12" s="5">
        <v>2</v>
      </c>
      <c r="D12" s="4" t="s">
        <v>62</v>
      </c>
      <c r="E12" s="4" t="s">
        <v>33</v>
      </c>
      <c r="F12" s="5" t="s">
        <v>18</v>
      </c>
      <c r="G12" s="5" t="s">
        <v>19</v>
      </c>
      <c r="H12" s="5" t="s">
        <v>34</v>
      </c>
      <c r="I12" s="5" t="s">
        <v>18</v>
      </c>
      <c r="J12" s="4" t="s">
        <v>35</v>
      </c>
      <c r="K12" s="4" t="s">
        <v>23</v>
      </c>
      <c r="L12" s="10"/>
      <c r="M12" s="26" t="str">
        <f>HYPERLINK("https://www.bible.com/fr/audio-bible/152/GEN.26.S21","▶ Écouter AT")</f>
        <v>▶ Écouter AT</v>
      </c>
      <c r="N12" s="22" t="str">
        <f>HYPERLINK("https://www.bible.com/fr/audio-bible/152/HEB.8.S21","▶ Écouter NT")</f>
        <v>▶ Écouter NT</v>
      </c>
      <c r="O12" s="27"/>
    </row>
    <row r="13" spans="1:15">
      <c r="A13" s="9">
        <v>12</v>
      </c>
      <c r="B13" s="5" t="s">
        <v>63</v>
      </c>
      <c r="C13" s="5">
        <v>2</v>
      </c>
      <c r="D13" s="4" t="s">
        <v>64</v>
      </c>
      <c r="E13" s="4" t="s">
        <v>65</v>
      </c>
      <c r="F13" s="5" t="s">
        <v>27</v>
      </c>
      <c r="G13" s="5" t="s">
        <v>19</v>
      </c>
      <c r="H13" s="5" t="s">
        <v>34</v>
      </c>
      <c r="I13" s="5" t="s">
        <v>18</v>
      </c>
      <c r="J13" s="4" t="s">
        <v>35</v>
      </c>
      <c r="K13" s="4" t="s">
        <v>23</v>
      </c>
      <c r="L13" s="10"/>
      <c r="M13" s="26" t="str">
        <f>HYPERLINK("https://www.bible.com/fr/audio-bible/152/GEN.28.S21","▶ Écouter AT")</f>
        <v>▶ Écouter AT</v>
      </c>
      <c r="N13" s="22" t="str">
        <f>HYPERLINK("https://www.bible.com/fr/audio-bible/152/GAL.4.S21","▶ Écouter NT")</f>
        <v>▶ Écouter NT</v>
      </c>
      <c r="O13" s="27"/>
    </row>
    <row r="14" spans="1:15">
      <c r="A14" s="9">
        <v>13</v>
      </c>
      <c r="B14" s="5" t="s">
        <v>66</v>
      </c>
      <c r="C14" s="5">
        <v>2</v>
      </c>
      <c r="D14" s="4" t="s">
        <v>67</v>
      </c>
      <c r="E14" s="4" t="s">
        <v>68</v>
      </c>
      <c r="F14" s="5" t="s">
        <v>27</v>
      </c>
      <c r="G14" s="5" t="s">
        <v>33</v>
      </c>
      <c r="H14" s="5" t="s">
        <v>34</v>
      </c>
      <c r="I14" s="5" t="s">
        <v>18</v>
      </c>
      <c r="J14" s="4" t="s">
        <v>35</v>
      </c>
      <c r="K14" s="4" t="s">
        <v>23</v>
      </c>
      <c r="L14" s="10"/>
      <c r="M14" s="26" t="str">
        <f>HYPERLINK("https://www.bible.com/fr/audio-bible/152/GEN.31.S21","▶ Écouter AT")</f>
        <v>▶ Écouter AT</v>
      </c>
      <c r="N14" s="22" t="str">
        <f>HYPERLINK("https://www.bible.com/fr/audio-bible/152/MAT.20.S21","▶ Écouter NT")</f>
        <v>▶ Écouter NT</v>
      </c>
      <c r="O14" s="27" t="str">
        <f>HYPERLINK("https://www.bible.com/fr/audio-bible/152/HEB.8.S21","▶ Écouter miroir")</f>
        <v>▶ Écouter miroir</v>
      </c>
    </row>
    <row r="15" spans="1:15">
      <c r="A15" s="9">
        <v>14</v>
      </c>
      <c r="B15" s="5" t="s">
        <v>69</v>
      </c>
      <c r="C15" s="5">
        <v>2</v>
      </c>
      <c r="D15" s="4" t="s">
        <v>70</v>
      </c>
      <c r="E15" s="4" t="s">
        <v>71</v>
      </c>
      <c r="F15" s="5" t="s">
        <v>27</v>
      </c>
      <c r="G15" s="5" t="s">
        <v>33</v>
      </c>
      <c r="H15" s="5" t="s">
        <v>34</v>
      </c>
      <c r="I15" s="5" t="s">
        <v>18</v>
      </c>
      <c r="J15" s="4" t="s">
        <v>35</v>
      </c>
      <c r="K15" s="4" t="s">
        <v>23</v>
      </c>
      <c r="L15" s="10"/>
      <c r="M15" s="26" t="str">
        <f>HYPERLINK("https://www.bible.com/fr/audio-bible/152/GEN.34.S21","▶ Écouter AT")</f>
        <v>▶ Écouter AT</v>
      </c>
      <c r="N15" s="22" t="str">
        <f>HYPERLINK("https://www.bible.com/fr/audio-bible/152/MAT.19.S21","▶ Écouter NT")</f>
        <v>▶ Écouter NT</v>
      </c>
      <c r="O15" s="27" t="str">
        <f>HYPERLINK("https://www.bible.com/fr/audio-bible/152/HEB.8.S21","▶ Écouter miroir")</f>
        <v>▶ Écouter miroir</v>
      </c>
    </row>
    <row r="16" spans="1:15">
      <c r="A16" s="9">
        <v>15</v>
      </c>
      <c r="B16" s="5" t="s">
        <v>72</v>
      </c>
      <c r="C16" s="5">
        <v>3</v>
      </c>
      <c r="D16" s="4" t="s">
        <v>73</v>
      </c>
      <c r="E16" s="4" t="s">
        <v>74</v>
      </c>
      <c r="F16" s="5" t="s">
        <v>27</v>
      </c>
      <c r="G16" s="5" t="s">
        <v>33</v>
      </c>
      <c r="H16" s="5" t="s">
        <v>34</v>
      </c>
      <c r="I16" s="5" t="s">
        <v>18</v>
      </c>
      <c r="J16" s="4" t="s">
        <v>35</v>
      </c>
      <c r="K16" s="4" t="s">
        <v>23</v>
      </c>
      <c r="L16" s="10"/>
      <c r="M16" s="26" t="str">
        <f>HYPERLINK("https://www.bible.com/fr/audio-bible/152/GEN.36.S21","▶ Écouter AT")</f>
        <v>▶ Écouter AT</v>
      </c>
      <c r="N16" s="22" t="str">
        <f>HYPERLINK("https://www.bible.com/fr/audio-bible/152/ACT.26.S21","▶ Écouter NT")</f>
        <v>▶ Écouter NT</v>
      </c>
      <c r="O16" s="27" t="str">
        <f>HYPERLINK("https://www.bible.com/fr/audio-bible/152/HEB.8.S21","▶ Écouter miroir")</f>
        <v>▶ Écouter miroir</v>
      </c>
    </row>
    <row r="17" spans="1:15" ht="27.6">
      <c r="A17" s="9">
        <v>16</v>
      </c>
      <c r="B17" s="5" t="s">
        <v>75</v>
      </c>
      <c r="C17" s="5">
        <v>3</v>
      </c>
      <c r="D17" s="4" t="s">
        <v>76</v>
      </c>
      <c r="E17" s="4" t="s">
        <v>77</v>
      </c>
      <c r="F17" s="5" t="s">
        <v>27</v>
      </c>
      <c r="G17" s="5" t="s">
        <v>78</v>
      </c>
      <c r="H17" s="5" t="s">
        <v>79</v>
      </c>
      <c r="I17" s="5" t="s">
        <v>18</v>
      </c>
      <c r="J17" s="4" t="s">
        <v>80</v>
      </c>
      <c r="K17" s="4" t="s">
        <v>23</v>
      </c>
      <c r="L17" s="10"/>
      <c r="M17" s="26" t="str">
        <f>HYPERLINK("https://www.bible.com/fr/audio-bible/152/GEN.39.S21","▶ Écouter AT")</f>
        <v>▶ Écouter AT</v>
      </c>
      <c r="N17" s="22" t="str">
        <f>HYPERLINK("https://www.bible.com/fr/audio-bible/152/ACT.24.S21","▶ Écouter NT")</f>
        <v>▶ Écouter NT</v>
      </c>
      <c r="O17" s="27" t="str">
        <f>HYPERLINK("https://www.bible.com/fr/audio-bible/152/1PE.2.S21","▶ Écouter miroir")</f>
        <v>▶ Écouter miroir</v>
      </c>
    </row>
    <row r="18" spans="1:15" ht="27.6">
      <c r="A18" s="9">
        <v>17</v>
      </c>
      <c r="B18" s="5" t="s">
        <v>81</v>
      </c>
      <c r="C18" s="5">
        <v>3</v>
      </c>
      <c r="D18" s="4" t="s">
        <v>82</v>
      </c>
      <c r="E18" s="4" t="s">
        <v>83</v>
      </c>
      <c r="F18" s="5" t="s">
        <v>27</v>
      </c>
      <c r="G18" s="5" t="s">
        <v>78</v>
      </c>
      <c r="H18" s="5" t="s">
        <v>79</v>
      </c>
      <c r="I18" s="5" t="s">
        <v>18</v>
      </c>
      <c r="J18" s="4" t="s">
        <v>80</v>
      </c>
      <c r="K18" s="4" t="s">
        <v>23</v>
      </c>
      <c r="L18" s="10"/>
      <c r="M18" s="26" t="str">
        <f>HYPERLINK("https://www.bible.com/fr/audio-bible/152/GEN.41.S21","▶ Écouter AT")</f>
        <v>▶ Écouter AT</v>
      </c>
      <c r="N18" s="22" t="str">
        <f>HYPERLINK("https://www.bible.com/fr/audio-bible/152/ACT.23.S21","▶ Écouter NT")</f>
        <v>▶ Écouter NT</v>
      </c>
      <c r="O18" s="27" t="str">
        <f>HYPERLINK("https://www.bible.com/fr/audio-bible/152/1PE.2.S21","▶ Écouter miroir")</f>
        <v>▶ Écouter miroir</v>
      </c>
    </row>
    <row r="19" spans="1:15">
      <c r="A19" s="9">
        <v>18</v>
      </c>
      <c r="B19" s="5" t="s">
        <v>84</v>
      </c>
      <c r="C19" s="5">
        <v>3</v>
      </c>
      <c r="D19" s="4" t="s">
        <v>85</v>
      </c>
      <c r="E19" s="4" t="s">
        <v>86</v>
      </c>
      <c r="F19" s="5" t="s">
        <v>27</v>
      </c>
      <c r="G19" s="5" t="s">
        <v>87</v>
      </c>
      <c r="H19" s="5" t="s">
        <v>88</v>
      </c>
      <c r="I19" s="5" t="s">
        <v>89</v>
      </c>
      <c r="J19" s="4" t="s">
        <v>90</v>
      </c>
      <c r="K19" s="4" t="s">
        <v>23</v>
      </c>
      <c r="L19" s="10"/>
      <c r="M19" s="26" t="str">
        <f>HYPERLINK("https://www.bible.com/fr/audio-bible/152/GEN.44.S21","▶ Écouter AT")</f>
        <v>▶ Écouter AT</v>
      </c>
      <c r="N19" s="22" t="str">
        <f>HYPERLINK("https://www.bible.com/fr/audio-bible/152/PHM.1.S21","▶ Écouter NT")</f>
        <v>▶ Écouter NT</v>
      </c>
      <c r="O19" s="27" t="str">
        <f>HYPERLINK("https://www.bible.com/fr/audio-bible/152/EPH.4.S21","▶ Écouter miroir")</f>
        <v>▶ Écouter miroir</v>
      </c>
    </row>
    <row r="20" spans="1:15" ht="27.6">
      <c r="A20" s="9">
        <v>19</v>
      </c>
      <c r="B20" s="5" t="s">
        <v>91</v>
      </c>
      <c r="C20" s="5">
        <v>3</v>
      </c>
      <c r="D20" s="4" t="s">
        <v>92</v>
      </c>
      <c r="E20" s="4" t="s">
        <v>93</v>
      </c>
      <c r="F20" s="5" t="s">
        <v>27</v>
      </c>
      <c r="G20" s="5" t="s">
        <v>19</v>
      </c>
      <c r="H20" s="5" t="s">
        <v>39</v>
      </c>
      <c r="I20" s="5" t="s">
        <v>40</v>
      </c>
      <c r="J20" s="4" t="s">
        <v>41</v>
      </c>
      <c r="K20" s="4" t="s">
        <v>23</v>
      </c>
      <c r="L20" s="10"/>
      <c r="M20" s="26" t="str">
        <f>HYPERLINK("https://www.bible.com/fr/audio-bible/152/GEN.46.S21","▶ Écouter AT")</f>
        <v>▶ Écouter AT</v>
      </c>
      <c r="N20" s="22" t="str">
        <f>HYPERLINK("https://www.bible.com/fr/audio-bible/152/ACT.16.S21","▶ Écouter NT")</f>
        <v>▶ Écouter NT</v>
      </c>
      <c r="O20" s="27"/>
    </row>
    <row r="21" spans="1:15" ht="27.6">
      <c r="A21" s="9">
        <v>20</v>
      </c>
      <c r="B21" s="5" t="s">
        <v>94</v>
      </c>
      <c r="C21" s="5">
        <v>3</v>
      </c>
      <c r="D21" s="4" t="s">
        <v>95</v>
      </c>
      <c r="E21" s="4" t="s">
        <v>96</v>
      </c>
      <c r="F21" s="5" t="s">
        <v>27</v>
      </c>
      <c r="G21" s="5" t="s">
        <v>97</v>
      </c>
      <c r="H21" s="5" t="s">
        <v>39</v>
      </c>
      <c r="I21" s="5" t="s">
        <v>40</v>
      </c>
      <c r="J21" s="4" t="s">
        <v>41</v>
      </c>
      <c r="K21" s="4" t="s">
        <v>23</v>
      </c>
      <c r="L21" s="10"/>
      <c r="M21" s="26" t="str">
        <f>HYPERLINK("https://www.bible.com/fr/audio-bible/152/GEN.49.S21","▶ Écouter AT")</f>
        <v>▶ Écouter AT</v>
      </c>
      <c r="N21" s="22" t="str">
        <f>HYPERLINK("https://www.bible.com/fr/audio-bible/152/ACT.14.S21","▶ Écouter NT")</f>
        <v>▶ Écouter NT</v>
      </c>
      <c r="O21" s="27" t="str">
        <f>HYPERLINK("https://www.bible.com/fr/audio-bible/152/EPH.3.S21","▶ Écouter miroir")</f>
        <v>▶ Écouter miroir</v>
      </c>
    </row>
    <row r="22" spans="1:15">
      <c r="A22" s="9">
        <v>21</v>
      </c>
      <c r="B22" s="5" t="s">
        <v>98</v>
      </c>
      <c r="C22" s="5">
        <v>3</v>
      </c>
      <c r="D22" s="4" t="s">
        <v>99</v>
      </c>
      <c r="E22" s="4" t="s">
        <v>100</v>
      </c>
      <c r="F22" s="5" t="s">
        <v>18</v>
      </c>
      <c r="G22" s="5" t="s">
        <v>19</v>
      </c>
      <c r="H22" s="5" t="s">
        <v>101</v>
      </c>
      <c r="I22" s="5" t="s">
        <v>57</v>
      </c>
      <c r="J22" s="4" t="s">
        <v>102</v>
      </c>
      <c r="K22" s="4" t="s">
        <v>23</v>
      </c>
      <c r="L22" s="10"/>
      <c r="M22" s="26" t="str">
        <f>HYPERLINK("https://www.bible.com/fr/audio-bible/152/EXO.1.S21","▶ Écouter AT")</f>
        <v>▶ Écouter AT</v>
      </c>
      <c r="N22" s="22" t="str">
        <f>HYPERLINK("https://www.bible.com/fr/audio-bible/152/1CO.10.S21","▶ Écouter NT")</f>
        <v>▶ Écouter NT</v>
      </c>
      <c r="O22" s="27"/>
    </row>
    <row r="23" spans="1:15">
      <c r="A23" s="9">
        <v>22</v>
      </c>
      <c r="B23" s="5" t="s">
        <v>103</v>
      </c>
      <c r="C23" s="5">
        <v>4</v>
      </c>
      <c r="D23" s="4" t="s">
        <v>104</v>
      </c>
      <c r="E23" s="4" t="s">
        <v>105</v>
      </c>
      <c r="F23" s="5" t="s">
        <v>27</v>
      </c>
      <c r="G23" s="5" t="s">
        <v>19</v>
      </c>
      <c r="H23" s="5" t="s">
        <v>101</v>
      </c>
      <c r="I23" s="5" t="s">
        <v>57</v>
      </c>
      <c r="J23" s="4" t="s">
        <v>102</v>
      </c>
      <c r="K23" s="4" t="s">
        <v>23</v>
      </c>
      <c r="L23" s="10"/>
      <c r="M23" s="26" t="str">
        <f>HYPERLINK("https://www.bible.com/fr/audio-bible/152/EXO.4.S21","▶ Écouter AT")</f>
        <v>▶ Écouter AT</v>
      </c>
      <c r="N23" s="22" t="str">
        <f>HYPERLINK("https://www.bible.com/fr/audio-bible/152/1CO.10.S21","▶ Écouter NT")</f>
        <v>▶ Écouter NT</v>
      </c>
      <c r="O23" s="27"/>
    </row>
    <row r="24" spans="1:15">
      <c r="A24" s="9">
        <v>23</v>
      </c>
      <c r="B24" s="5" t="s">
        <v>106</v>
      </c>
      <c r="C24" s="5">
        <v>4</v>
      </c>
      <c r="D24" s="4" t="s">
        <v>107</v>
      </c>
      <c r="E24" s="4" t="s">
        <v>108</v>
      </c>
      <c r="F24" s="5" t="s">
        <v>27</v>
      </c>
      <c r="G24" s="5" t="s">
        <v>19</v>
      </c>
      <c r="H24" s="5" t="s">
        <v>101</v>
      </c>
      <c r="I24" s="5" t="s">
        <v>57</v>
      </c>
      <c r="J24" s="4" t="s">
        <v>102</v>
      </c>
      <c r="K24" s="4" t="s">
        <v>23</v>
      </c>
      <c r="L24" s="10"/>
      <c r="M24" s="26" t="str">
        <f>HYPERLINK("https://www.bible.com/fr/audio-bible/152/EXO.6.S21","▶ Écouter AT")</f>
        <v>▶ Écouter AT</v>
      </c>
      <c r="N24" s="22" t="str">
        <f>HYPERLINK("https://www.bible.com/fr/audio-bible/152/1CO.9.S21","▶ Écouter NT")</f>
        <v>▶ Écouter NT</v>
      </c>
      <c r="O24" s="27"/>
    </row>
    <row r="25" spans="1:15">
      <c r="A25" s="9">
        <v>24</v>
      </c>
      <c r="B25" s="5" t="s">
        <v>109</v>
      </c>
      <c r="C25" s="5">
        <v>4</v>
      </c>
      <c r="D25" s="4" t="s">
        <v>110</v>
      </c>
      <c r="E25" s="4" t="s">
        <v>111</v>
      </c>
      <c r="F25" s="5" t="s">
        <v>27</v>
      </c>
      <c r="G25" s="5" t="s">
        <v>19</v>
      </c>
      <c r="H25" s="5" t="s">
        <v>101</v>
      </c>
      <c r="I25" s="5" t="s">
        <v>57</v>
      </c>
      <c r="J25" s="4" t="s">
        <v>102</v>
      </c>
      <c r="K25" s="4" t="s">
        <v>23</v>
      </c>
      <c r="L25" s="10"/>
      <c r="M25" s="26" t="str">
        <f>HYPERLINK("https://www.bible.com/fr/audio-bible/152/EXO.9.S21","▶ Écouter AT")</f>
        <v>▶ Écouter AT</v>
      </c>
      <c r="N25" s="22" t="str">
        <f>HYPERLINK("https://www.bible.com/fr/audio-bible/152/1CO.8.S21","▶ Écouter NT")</f>
        <v>▶ Écouter NT</v>
      </c>
      <c r="O25" s="27"/>
    </row>
    <row r="26" spans="1:15" ht="27.6">
      <c r="A26" s="9">
        <v>25</v>
      </c>
      <c r="B26" s="5" t="s">
        <v>112</v>
      </c>
      <c r="C26" s="5">
        <v>4</v>
      </c>
      <c r="D26" s="4" t="s">
        <v>113</v>
      </c>
      <c r="E26" s="4" t="s">
        <v>114</v>
      </c>
      <c r="F26" s="5" t="s">
        <v>27</v>
      </c>
      <c r="G26" s="5" t="s">
        <v>19</v>
      </c>
      <c r="H26" s="5" t="s">
        <v>56</v>
      </c>
      <c r="I26" s="5" t="s">
        <v>57</v>
      </c>
      <c r="J26" s="4" t="s">
        <v>58</v>
      </c>
      <c r="K26" s="4" t="s">
        <v>23</v>
      </c>
      <c r="L26" s="10"/>
      <c r="M26" s="26" t="str">
        <f>HYPERLINK("https://www.bible.com/fr/audio-bible/152/EXO.12.S21","▶ Écouter AT")</f>
        <v>▶ Écouter AT</v>
      </c>
      <c r="N26" s="22" t="str">
        <f>HYPERLINK("https://www.bible.com/fr/audio-bible/152/MRK.14.S21","▶ Écouter NT")</f>
        <v>▶ Écouter NT</v>
      </c>
      <c r="O26" s="27"/>
    </row>
    <row r="27" spans="1:15">
      <c r="A27" s="9">
        <v>26</v>
      </c>
      <c r="B27" s="5" t="s">
        <v>115</v>
      </c>
      <c r="C27" s="5">
        <v>4</v>
      </c>
      <c r="D27" s="4" t="s">
        <v>116</v>
      </c>
      <c r="E27" s="4" t="s">
        <v>117</v>
      </c>
      <c r="F27" s="5" t="s">
        <v>27</v>
      </c>
      <c r="G27" s="5" t="s">
        <v>19</v>
      </c>
      <c r="H27" s="5" t="s">
        <v>101</v>
      </c>
      <c r="I27" s="5" t="s">
        <v>57</v>
      </c>
      <c r="J27" s="4" t="s">
        <v>102</v>
      </c>
      <c r="K27" s="4" t="s">
        <v>23</v>
      </c>
      <c r="L27" s="10"/>
      <c r="M27" s="26" t="str">
        <f>HYPERLINK("https://www.bible.com/fr/audio-bible/152/EXO.14.S21","▶ Écouter AT")</f>
        <v>▶ Écouter AT</v>
      </c>
      <c r="N27" s="22" t="str">
        <f>HYPERLINK("https://www.bible.com/fr/audio-bible/152/JHN.6.S21","▶ Écouter NT")</f>
        <v>▶ Écouter NT</v>
      </c>
      <c r="O27" s="27"/>
    </row>
    <row r="28" spans="1:15" ht="27.6">
      <c r="A28" s="9">
        <v>27</v>
      </c>
      <c r="B28" s="5" t="s">
        <v>118</v>
      </c>
      <c r="C28" s="5">
        <v>4</v>
      </c>
      <c r="D28" s="4" t="s">
        <v>119</v>
      </c>
      <c r="E28" s="4" t="s">
        <v>120</v>
      </c>
      <c r="F28" s="5" t="s">
        <v>18</v>
      </c>
      <c r="G28" s="5" t="s">
        <v>19</v>
      </c>
      <c r="H28" s="5" t="s">
        <v>121</v>
      </c>
      <c r="I28" s="5" t="s">
        <v>122</v>
      </c>
      <c r="J28" s="4" t="s">
        <v>123</v>
      </c>
      <c r="K28" s="4" t="s">
        <v>23</v>
      </c>
      <c r="L28" s="10"/>
      <c r="M28" s="26" t="str">
        <f>HYPERLINK("https://www.bible.com/fr/audio-bible/152/EXO.17.S21","▶ Écouter AT")</f>
        <v>▶ Écouter AT</v>
      </c>
      <c r="N28" s="22" t="str">
        <f>HYPERLINK("https://www.bible.com/fr/audio-bible/152/HEB.3.S21","▶ Écouter NT")</f>
        <v>▶ Écouter NT</v>
      </c>
      <c r="O28" s="27"/>
    </row>
    <row r="29" spans="1:15">
      <c r="A29" s="9">
        <v>28</v>
      </c>
      <c r="B29" s="5" t="s">
        <v>124</v>
      </c>
      <c r="C29" s="5">
        <v>4</v>
      </c>
      <c r="D29" s="4" t="s">
        <v>125</v>
      </c>
      <c r="E29" s="4" t="s">
        <v>33</v>
      </c>
      <c r="F29" s="5" t="s">
        <v>18</v>
      </c>
      <c r="G29" s="5" t="s">
        <v>19</v>
      </c>
      <c r="H29" s="5" t="s">
        <v>34</v>
      </c>
      <c r="I29" s="5" t="s">
        <v>18</v>
      </c>
      <c r="J29" s="4" t="s">
        <v>35</v>
      </c>
      <c r="K29" s="4" t="s">
        <v>23</v>
      </c>
      <c r="L29" s="10"/>
      <c r="M29" s="26" t="str">
        <f>HYPERLINK("https://www.bible.com/fr/audio-bible/152/EXO.19.S21","▶ Écouter AT")</f>
        <v>▶ Écouter AT</v>
      </c>
      <c r="N29" s="22" t="str">
        <f>HYPERLINK("https://www.bible.com/fr/audio-bible/152/HEB.8.S21","▶ Écouter NT")</f>
        <v>▶ Écouter NT</v>
      </c>
      <c r="O29" s="27"/>
    </row>
    <row r="30" spans="1:15">
      <c r="A30" s="9">
        <v>29</v>
      </c>
      <c r="B30" s="5" t="s">
        <v>126</v>
      </c>
      <c r="C30" s="5">
        <v>5</v>
      </c>
      <c r="D30" s="4" t="s">
        <v>127</v>
      </c>
      <c r="E30" s="4" t="s">
        <v>33</v>
      </c>
      <c r="F30" s="5" t="s">
        <v>18</v>
      </c>
      <c r="G30" s="5" t="s">
        <v>19</v>
      </c>
      <c r="H30" s="5" t="s">
        <v>34</v>
      </c>
      <c r="I30" s="5" t="s">
        <v>18</v>
      </c>
      <c r="J30" s="4" t="s">
        <v>35</v>
      </c>
      <c r="K30" s="4" t="s">
        <v>23</v>
      </c>
      <c r="L30" s="10"/>
      <c r="M30" s="26" t="str">
        <f>HYPERLINK("https://www.bible.com/fr/audio-bible/152/EXO.22.S21","▶ Écouter AT")</f>
        <v>▶ Écouter AT</v>
      </c>
      <c r="N30" s="22" t="str">
        <f>HYPERLINK("https://www.bible.com/fr/audio-bible/152/HEB.8.S21","▶ Écouter NT")</f>
        <v>▶ Écouter NT</v>
      </c>
      <c r="O30" s="27"/>
    </row>
    <row r="31" spans="1:15">
      <c r="A31" s="9">
        <v>30</v>
      </c>
      <c r="B31" s="5" t="s">
        <v>128</v>
      </c>
      <c r="C31" s="5">
        <v>5</v>
      </c>
      <c r="D31" s="4" t="s">
        <v>129</v>
      </c>
      <c r="E31" s="4" t="s">
        <v>130</v>
      </c>
      <c r="F31" s="5" t="s">
        <v>18</v>
      </c>
      <c r="G31" s="5" t="s">
        <v>19</v>
      </c>
      <c r="H31" s="5" t="s">
        <v>131</v>
      </c>
      <c r="I31" s="5" t="s">
        <v>57</v>
      </c>
      <c r="J31" s="4" t="s">
        <v>132</v>
      </c>
      <c r="K31" s="4" t="s">
        <v>23</v>
      </c>
      <c r="L31" s="10"/>
      <c r="M31" s="26" t="str">
        <f>HYPERLINK("https://www.bible.com/fr/audio-bible/152/EXO.24.S21","▶ Écouter AT")</f>
        <v>▶ Écouter AT</v>
      </c>
      <c r="N31" s="22" t="str">
        <f>HYPERLINK("https://www.bible.com/fr/audio-bible/152/HEB.7.S21","▶ Écouter NT")</f>
        <v>▶ Écouter NT</v>
      </c>
      <c r="O31" s="27"/>
    </row>
    <row r="32" spans="1:15">
      <c r="A32" s="9">
        <v>31</v>
      </c>
      <c r="B32" s="5" t="s">
        <v>133</v>
      </c>
      <c r="C32" s="5">
        <v>5</v>
      </c>
      <c r="D32" s="4" t="s">
        <v>134</v>
      </c>
      <c r="E32" s="4" t="s">
        <v>130</v>
      </c>
      <c r="F32" s="5" t="s">
        <v>18</v>
      </c>
      <c r="G32" s="5" t="s">
        <v>19</v>
      </c>
      <c r="H32" s="5" t="s">
        <v>131</v>
      </c>
      <c r="I32" s="5" t="s">
        <v>57</v>
      </c>
      <c r="J32" s="4" t="s">
        <v>132</v>
      </c>
      <c r="K32" s="4" t="s">
        <v>23</v>
      </c>
      <c r="L32" s="10"/>
      <c r="M32" s="26" t="str">
        <f>HYPERLINK("https://www.bible.com/fr/audio-bible/152/EXO.27.S21","▶ Écouter AT")</f>
        <v>▶ Écouter AT</v>
      </c>
      <c r="N32" s="22" t="str">
        <f>HYPERLINK("https://www.bible.com/fr/audio-bible/152/HEB.7.S21","▶ Écouter NT")</f>
        <v>▶ Écouter NT</v>
      </c>
      <c r="O32" s="27"/>
    </row>
    <row r="33" spans="1:15">
      <c r="A33" s="9">
        <v>32</v>
      </c>
      <c r="B33" s="5" t="s">
        <v>135</v>
      </c>
      <c r="C33" s="5">
        <v>5</v>
      </c>
      <c r="D33" s="4" t="s">
        <v>136</v>
      </c>
      <c r="E33" s="4" t="s">
        <v>130</v>
      </c>
      <c r="F33" s="5" t="s">
        <v>18</v>
      </c>
      <c r="G33" s="5" t="s">
        <v>19</v>
      </c>
      <c r="H33" s="5" t="s">
        <v>131</v>
      </c>
      <c r="I33" s="5" t="s">
        <v>57</v>
      </c>
      <c r="J33" s="4" t="s">
        <v>132</v>
      </c>
      <c r="K33" s="4" t="s">
        <v>23</v>
      </c>
      <c r="L33" s="10"/>
      <c r="M33" s="26" t="str">
        <f>HYPERLINK("https://www.bible.com/fr/audio-bible/152/EXO.29.S21","▶ Écouter AT")</f>
        <v>▶ Écouter AT</v>
      </c>
      <c r="N33" s="22" t="str">
        <f>HYPERLINK("https://www.bible.com/fr/audio-bible/152/HEB.7.S21","▶ Écouter NT")</f>
        <v>▶ Écouter NT</v>
      </c>
      <c r="O33" s="27"/>
    </row>
    <row r="34" spans="1:15">
      <c r="A34" s="9">
        <v>33</v>
      </c>
      <c r="B34" s="5" t="s">
        <v>137</v>
      </c>
      <c r="C34" s="5">
        <v>5</v>
      </c>
      <c r="D34" s="4" t="s">
        <v>138</v>
      </c>
      <c r="E34" s="4" t="s">
        <v>139</v>
      </c>
      <c r="F34" s="5" t="s">
        <v>27</v>
      </c>
      <c r="G34" s="5" t="s">
        <v>19</v>
      </c>
      <c r="H34" s="5" t="s">
        <v>34</v>
      </c>
      <c r="I34" s="5" t="s">
        <v>18</v>
      </c>
      <c r="J34" s="4" t="s">
        <v>35</v>
      </c>
      <c r="K34" s="4" t="s">
        <v>23</v>
      </c>
      <c r="L34" s="10"/>
      <c r="M34" s="26" t="str">
        <f>HYPERLINK("https://www.bible.com/fr/audio-bible/152/EXO.32.S21","▶ Écouter AT")</f>
        <v>▶ Écouter AT</v>
      </c>
      <c r="N34" s="22" t="str">
        <f>HYPERLINK("https://www.bible.com/fr/audio-bible/152/ROM.10.S21","▶ Écouter NT")</f>
        <v>▶ Écouter NT</v>
      </c>
      <c r="O34" s="27"/>
    </row>
    <row r="35" spans="1:15">
      <c r="A35" s="9">
        <v>34</v>
      </c>
      <c r="B35" s="5" t="s">
        <v>140</v>
      </c>
      <c r="C35" s="5">
        <v>5</v>
      </c>
      <c r="D35" s="4" t="s">
        <v>141</v>
      </c>
      <c r="E35" s="4" t="s">
        <v>142</v>
      </c>
      <c r="F35" s="5" t="s">
        <v>27</v>
      </c>
      <c r="G35" s="5" t="s">
        <v>19</v>
      </c>
      <c r="H35" s="5" t="s">
        <v>34</v>
      </c>
      <c r="I35" s="5" t="s">
        <v>18</v>
      </c>
      <c r="J35" s="4" t="s">
        <v>35</v>
      </c>
      <c r="K35" s="4" t="s">
        <v>23</v>
      </c>
      <c r="L35" s="10"/>
      <c r="M35" s="26" t="str">
        <f>HYPERLINK("https://www.bible.com/fr/audio-bible/152/EXO.34.S21","▶ Écouter AT")</f>
        <v>▶ Écouter AT</v>
      </c>
      <c r="N35" s="22" t="str">
        <f>HYPERLINK("https://www.bible.com/fr/audio-bible/152/ROM.9.S21","▶ Écouter NT")</f>
        <v>▶ Écouter NT</v>
      </c>
      <c r="O35" s="27"/>
    </row>
    <row r="36" spans="1:15">
      <c r="A36" s="9">
        <v>35</v>
      </c>
      <c r="B36" s="5" t="s">
        <v>143</v>
      </c>
      <c r="C36" s="5">
        <v>5</v>
      </c>
      <c r="D36" s="4" t="s">
        <v>144</v>
      </c>
      <c r="E36" s="4" t="s">
        <v>145</v>
      </c>
      <c r="F36" s="5" t="s">
        <v>27</v>
      </c>
      <c r="G36" s="5" t="s">
        <v>146</v>
      </c>
      <c r="H36" s="5" t="s">
        <v>147</v>
      </c>
      <c r="I36" s="5" t="s">
        <v>57</v>
      </c>
      <c r="J36" s="4" t="s">
        <v>148</v>
      </c>
      <c r="K36" s="4" t="s">
        <v>23</v>
      </c>
      <c r="L36" s="10"/>
      <c r="M36" s="26" t="str">
        <f>HYPERLINK("https://www.bible.com/fr/audio-bible/152/EXO.37.S21","▶ Écouter AT")</f>
        <v>▶ Écouter AT</v>
      </c>
      <c r="N36" s="22" t="str">
        <f>HYPERLINK("https://www.bible.com/fr/audio-bible/152/GAL.6.S21","▶ Écouter NT")</f>
        <v>▶ Écouter NT</v>
      </c>
      <c r="O36" s="27" t="str">
        <f>HYPERLINK("https://www.bible.com/fr/audio-bible/152/HEB.9.S21","▶ Écouter miroir")</f>
        <v>▶ Écouter miroir</v>
      </c>
    </row>
    <row r="37" spans="1:15" ht="27.6">
      <c r="A37" s="9">
        <v>36</v>
      </c>
      <c r="B37" s="5" t="s">
        <v>149</v>
      </c>
      <c r="C37" s="5">
        <v>6</v>
      </c>
      <c r="D37" s="4" t="s">
        <v>150</v>
      </c>
      <c r="E37" s="4" t="s">
        <v>151</v>
      </c>
      <c r="F37" s="5" t="s">
        <v>27</v>
      </c>
      <c r="G37" s="5" t="s">
        <v>19</v>
      </c>
      <c r="H37" s="5" t="s">
        <v>56</v>
      </c>
      <c r="I37" s="5" t="s">
        <v>57</v>
      </c>
      <c r="J37" s="4" t="s">
        <v>58</v>
      </c>
      <c r="K37" s="4" t="s">
        <v>23</v>
      </c>
      <c r="L37" s="10"/>
      <c r="M37" s="26" t="str">
        <f>HYPERLINK("https://www.bible.com/fr/audio-bible/152/LEV.1.S21","▶ Écouter AT")</f>
        <v>▶ Écouter AT</v>
      </c>
      <c r="N37" s="22" t="str">
        <f>HYPERLINK("https://www.bible.com/fr/audio-bible/152/HEB.10.S21","▶ Écouter NT")</f>
        <v>▶ Écouter NT</v>
      </c>
      <c r="O37" s="27"/>
    </row>
    <row r="38" spans="1:15" ht="27.6">
      <c r="A38" s="9">
        <v>37</v>
      </c>
      <c r="B38" s="5" t="s">
        <v>152</v>
      </c>
      <c r="C38" s="5">
        <v>6</v>
      </c>
      <c r="D38" s="4" t="s">
        <v>153</v>
      </c>
      <c r="E38" s="4" t="s">
        <v>55</v>
      </c>
      <c r="F38" s="5" t="s">
        <v>18</v>
      </c>
      <c r="G38" s="5" t="s">
        <v>19</v>
      </c>
      <c r="H38" s="5" t="s">
        <v>56</v>
      </c>
      <c r="I38" s="5" t="s">
        <v>57</v>
      </c>
      <c r="J38" s="4" t="s">
        <v>58</v>
      </c>
      <c r="K38" s="4" t="s">
        <v>23</v>
      </c>
      <c r="L38" s="10"/>
      <c r="M38" s="26" t="str">
        <f>HYPERLINK("https://www.bible.com/fr/audio-bible/152/LEV.2.S21","▶ Écouter AT")</f>
        <v>▶ Écouter AT</v>
      </c>
      <c r="N38" s="22" t="str">
        <f>HYPERLINK("https://www.bible.com/fr/audio-bible/152/HEB.10.S21","▶ Écouter NT")</f>
        <v>▶ Écouter NT</v>
      </c>
      <c r="O38" s="27"/>
    </row>
    <row r="39" spans="1:15" ht="27.6">
      <c r="A39" s="9">
        <v>38</v>
      </c>
      <c r="B39" s="5" t="s">
        <v>154</v>
      </c>
      <c r="C39" s="5">
        <v>6</v>
      </c>
      <c r="D39" s="4" t="s">
        <v>155</v>
      </c>
      <c r="E39" s="4" t="s">
        <v>55</v>
      </c>
      <c r="F39" s="5" t="s">
        <v>18</v>
      </c>
      <c r="G39" s="5" t="s">
        <v>19</v>
      </c>
      <c r="H39" s="5" t="s">
        <v>56</v>
      </c>
      <c r="I39" s="5" t="s">
        <v>57</v>
      </c>
      <c r="J39" s="4" t="s">
        <v>58</v>
      </c>
      <c r="K39" s="4" t="s">
        <v>23</v>
      </c>
      <c r="L39" s="10"/>
      <c r="M39" s="26" t="str">
        <f>HYPERLINK("https://www.bible.com/fr/audio-bible/152/LEV.5.S21","▶ Écouter AT")</f>
        <v>▶ Écouter AT</v>
      </c>
      <c r="N39" s="22" t="str">
        <f>HYPERLINK("https://www.bible.com/fr/audio-bible/152/HEB.10.S21","▶ Écouter NT")</f>
        <v>▶ Écouter NT</v>
      </c>
      <c r="O39" s="27"/>
    </row>
    <row r="40" spans="1:15" ht="27.6">
      <c r="A40" s="9">
        <v>39</v>
      </c>
      <c r="B40" s="5" t="s">
        <v>156</v>
      </c>
      <c r="C40" s="5">
        <v>6</v>
      </c>
      <c r="D40" s="4" t="s">
        <v>157</v>
      </c>
      <c r="E40" s="4" t="s">
        <v>158</v>
      </c>
      <c r="F40" s="5" t="s">
        <v>27</v>
      </c>
      <c r="G40" s="5" t="s">
        <v>19</v>
      </c>
      <c r="H40" s="5" t="s">
        <v>56</v>
      </c>
      <c r="I40" s="5" t="s">
        <v>57</v>
      </c>
      <c r="J40" s="4" t="s">
        <v>58</v>
      </c>
      <c r="K40" s="4" t="s">
        <v>23</v>
      </c>
      <c r="L40" s="10"/>
      <c r="M40" s="26" t="str">
        <f>HYPERLINK("https://www.bible.com/fr/audio-bible/152/LEV.7.S21","▶ Écouter AT")</f>
        <v>▶ Écouter AT</v>
      </c>
      <c r="N40" s="22" t="str">
        <f>HYPERLINK("https://www.bible.com/fr/audio-bible/152/HEB.9.S21","▶ Écouter NT")</f>
        <v>▶ Écouter NT</v>
      </c>
      <c r="O40" s="27"/>
    </row>
    <row r="41" spans="1:15">
      <c r="A41" s="9">
        <v>40</v>
      </c>
      <c r="B41" s="5" t="s">
        <v>159</v>
      </c>
      <c r="C41" s="5">
        <v>6</v>
      </c>
      <c r="D41" s="4" t="s">
        <v>160</v>
      </c>
      <c r="E41" s="4" t="s">
        <v>161</v>
      </c>
      <c r="F41" s="5" t="s">
        <v>27</v>
      </c>
      <c r="G41" s="5" t="s">
        <v>130</v>
      </c>
      <c r="H41" s="5" t="s">
        <v>131</v>
      </c>
      <c r="I41" s="5" t="s">
        <v>57</v>
      </c>
      <c r="J41" s="4" t="s">
        <v>132</v>
      </c>
      <c r="K41" s="4" t="s">
        <v>23</v>
      </c>
      <c r="L41" s="10"/>
      <c r="M41" s="26" t="str">
        <f>HYPERLINK("https://www.bible.com/fr/audio-bible/152/LEV.10.S21","▶ Écouter AT")</f>
        <v>▶ Écouter AT</v>
      </c>
      <c r="N41" s="22" t="str">
        <f>HYPERLINK("https://www.bible.com/fr/audio-bible/152/MAT.23.S21","▶ Écouter NT")</f>
        <v>▶ Écouter NT</v>
      </c>
      <c r="O41" s="27" t="str">
        <f>HYPERLINK("https://www.bible.com/fr/audio-bible/152/HEB.7.S21","▶ Écouter miroir")</f>
        <v>▶ Écouter miroir</v>
      </c>
    </row>
    <row r="42" spans="1:15">
      <c r="A42" s="9">
        <v>41</v>
      </c>
      <c r="B42" s="5" t="s">
        <v>162</v>
      </c>
      <c r="C42" s="5">
        <v>6</v>
      </c>
      <c r="D42" s="4" t="s">
        <v>163</v>
      </c>
      <c r="E42" s="4" t="s">
        <v>164</v>
      </c>
      <c r="F42" s="5" t="s">
        <v>27</v>
      </c>
      <c r="G42" s="5" t="s">
        <v>165</v>
      </c>
      <c r="H42" s="5" t="s">
        <v>166</v>
      </c>
      <c r="I42" s="5" t="s">
        <v>89</v>
      </c>
      <c r="J42" s="4" t="s">
        <v>167</v>
      </c>
      <c r="K42" s="4" t="s">
        <v>23</v>
      </c>
      <c r="L42" s="10"/>
      <c r="M42" s="26" t="str">
        <f>HYPERLINK("https://www.bible.com/fr/audio-bible/152/LEV.12.S21","▶ Écouter AT")</f>
        <v>▶ Écouter AT</v>
      </c>
      <c r="N42" s="22" t="str">
        <f>HYPERLINK("https://www.bible.com/fr/audio-bible/152/1CO.7.S21","▶ Écouter NT")</f>
        <v>▶ Écouter NT</v>
      </c>
      <c r="O42" s="27" t="str">
        <f>HYPERLINK("https://www.bible.com/fr/audio-bible/152/1PE.1.S21","▶ Écouter miroir")</f>
        <v>▶ Écouter miroir</v>
      </c>
    </row>
    <row r="43" spans="1:15" ht="27.6">
      <c r="A43" s="9">
        <v>42</v>
      </c>
      <c r="B43" s="5" t="s">
        <v>168</v>
      </c>
      <c r="C43" s="5">
        <v>6</v>
      </c>
      <c r="D43" s="4" t="s">
        <v>169</v>
      </c>
      <c r="E43" s="4" t="s">
        <v>170</v>
      </c>
      <c r="F43" s="5" t="s">
        <v>27</v>
      </c>
      <c r="G43" s="5" t="s">
        <v>19</v>
      </c>
      <c r="H43" s="5" t="s">
        <v>56</v>
      </c>
      <c r="I43" s="5" t="s">
        <v>57</v>
      </c>
      <c r="J43" s="4" t="s">
        <v>58</v>
      </c>
      <c r="K43" s="4" t="s">
        <v>23</v>
      </c>
      <c r="L43" s="10"/>
      <c r="M43" s="26" t="str">
        <f>HYPERLINK("https://www.bible.com/fr/audio-bible/152/LEV.15.S21","▶ Écouter AT")</f>
        <v>▶ Écouter AT</v>
      </c>
      <c r="N43" s="22" t="str">
        <f>HYPERLINK("https://www.bible.com/fr/audio-bible/152/HEB.8.S21","▶ Écouter NT")</f>
        <v>▶ Écouter NT</v>
      </c>
      <c r="O43" s="27"/>
    </row>
    <row r="44" spans="1:15" ht="27.6">
      <c r="A44" s="9">
        <v>43</v>
      </c>
      <c r="B44" s="5" t="s">
        <v>171</v>
      </c>
      <c r="C44" s="5">
        <v>7</v>
      </c>
      <c r="D44" s="4" t="s">
        <v>172</v>
      </c>
      <c r="E44" s="4" t="s">
        <v>173</v>
      </c>
      <c r="F44" s="5" t="s">
        <v>27</v>
      </c>
      <c r="G44" s="5" t="s">
        <v>55</v>
      </c>
      <c r="H44" s="5" t="s">
        <v>56</v>
      </c>
      <c r="I44" s="5" t="s">
        <v>57</v>
      </c>
      <c r="J44" s="4" t="s">
        <v>58</v>
      </c>
      <c r="K44" s="4" t="s">
        <v>23</v>
      </c>
      <c r="L44" s="10"/>
      <c r="M44" s="26" t="str">
        <f>HYPERLINK("https://www.bible.com/fr/audio-bible/152/LEV.17.S21","▶ Écouter AT")</f>
        <v>▶ Écouter AT</v>
      </c>
      <c r="N44" s="22" t="str">
        <f>HYPERLINK("https://www.bible.com/fr/audio-bible/152/JAS.2.S21","▶ Écouter NT")</f>
        <v>▶ Écouter NT</v>
      </c>
      <c r="O44" s="27" t="str">
        <f>HYPERLINK("https://www.bible.com/fr/audio-bible/152/HEB.10.S21","▶ Écouter miroir")</f>
        <v>▶ Écouter miroir</v>
      </c>
    </row>
    <row r="45" spans="1:15" ht="27.6">
      <c r="A45" s="9">
        <v>44</v>
      </c>
      <c r="B45" s="5" t="s">
        <v>174</v>
      </c>
      <c r="C45" s="5">
        <v>7</v>
      </c>
      <c r="D45" s="4" t="s">
        <v>175</v>
      </c>
      <c r="E45" s="4" t="s">
        <v>176</v>
      </c>
      <c r="F45" s="5" t="s">
        <v>27</v>
      </c>
      <c r="G45" s="5" t="s">
        <v>55</v>
      </c>
      <c r="H45" s="5" t="s">
        <v>56</v>
      </c>
      <c r="I45" s="5" t="s">
        <v>57</v>
      </c>
      <c r="J45" s="4" t="s">
        <v>58</v>
      </c>
      <c r="K45" s="4" t="s">
        <v>23</v>
      </c>
      <c r="L45" s="10"/>
      <c r="M45" s="26" t="str">
        <f>HYPERLINK("https://www.bible.com/fr/audio-bible/152/LEV.20.S21","▶ Écouter AT")</f>
        <v>▶ Écouter AT</v>
      </c>
      <c r="N45" s="22" t="str">
        <f>HYPERLINK("https://www.bible.com/fr/audio-bible/152/COL.3.S21","▶ Écouter NT")</f>
        <v>▶ Écouter NT</v>
      </c>
      <c r="O45" s="27" t="str">
        <f>HYPERLINK("https://www.bible.com/fr/audio-bible/152/HEB.10.S21","▶ Écouter miroir")</f>
        <v>▶ Écouter miroir</v>
      </c>
    </row>
    <row r="46" spans="1:15" ht="27.6">
      <c r="A46" s="9">
        <v>45</v>
      </c>
      <c r="B46" s="5" t="s">
        <v>177</v>
      </c>
      <c r="C46" s="5">
        <v>7</v>
      </c>
      <c r="D46" s="4" t="s">
        <v>178</v>
      </c>
      <c r="E46" s="4" t="s">
        <v>179</v>
      </c>
      <c r="F46" s="5" t="s">
        <v>27</v>
      </c>
      <c r="G46" s="5" t="s">
        <v>19</v>
      </c>
      <c r="H46" s="5" t="s">
        <v>56</v>
      </c>
      <c r="I46" s="5" t="s">
        <v>57</v>
      </c>
      <c r="J46" s="4" t="s">
        <v>58</v>
      </c>
      <c r="K46" s="4" t="s">
        <v>23</v>
      </c>
      <c r="L46" s="10"/>
      <c r="M46" s="26" t="str">
        <f>HYPERLINK("https://www.bible.com/fr/audio-bible/152/LEV.22.S21","▶ Écouter AT")</f>
        <v>▶ Écouter AT</v>
      </c>
      <c r="N46" s="22" t="str">
        <f>HYPERLINK("https://www.bible.com/fr/audio-bible/152/MAT.27.S21","▶ Écouter NT")</f>
        <v>▶ Écouter NT</v>
      </c>
      <c r="O46" s="27"/>
    </row>
    <row r="47" spans="1:15" ht="27.6">
      <c r="A47" s="9">
        <v>46</v>
      </c>
      <c r="B47" s="5" t="s">
        <v>180</v>
      </c>
      <c r="C47" s="5">
        <v>7</v>
      </c>
      <c r="D47" s="4" t="s">
        <v>181</v>
      </c>
      <c r="E47" s="4" t="s">
        <v>182</v>
      </c>
      <c r="F47" s="5" t="s">
        <v>27</v>
      </c>
      <c r="G47" s="5" t="s">
        <v>183</v>
      </c>
      <c r="H47" s="5" t="s">
        <v>184</v>
      </c>
      <c r="I47" s="5" t="s">
        <v>57</v>
      </c>
      <c r="J47" s="4" t="s">
        <v>185</v>
      </c>
      <c r="K47" s="4" t="s">
        <v>23</v>
      </c>
      <c r="L47" s="10"/>
      <c r="M47" s="26" t="str">
        <f>HYPERLINK("https://www.bible.com/fr/audio-bible/152/LEV.25.S21","▶ Écouter AT")</f>
        <v>▶ Écouter AT</v>
      </c>
      <c r="N47" s="22" t="str">
        <f>HYPERLINK("https://www.bible.com/fr/audio-bible/152/LUK.23.S21","▶ Écouter NT")</f>
        <v>▶ Écouter NT</v>
      </c>
      <c r="O47" s="27" t="str">
        <f>HYPERLINK("https://www.bible.com/fr/audio-bible/152/1CO.5.S21","▶ Écouter miroir")</f>
        <v>▶ Écouter miroir</v>
      </c>
    </row>
    <row r="48" spans="1:15">
      <c r="A48" s="9">
        <v>47</v>
      </c>
      <c r="B48" s="5" t="s">
        <v>186</v>
      </c>
      <c r="C48" s="5">
        <v>7</v>
      </c>
      <c r="D48" s="4" t="s">
        <v>187</v>
      </c>
      <c r="E48" s="4" t="s">
        <v>188</v>
      </c>
      <c r="F48" s="5" t="s">
        <v>27</v>
      </c>
      <c r="G48" s="5" t="s">
        <v>130</v>
      </c>
      <c r="H48" s="5" t="s">
        <v>131</v>
      </c>
      <c r="I48" s="5" t="s">
        <v>57</v>
      </c>
      <c r="J48" s="4" t="s">
        <v>132</v>
      </c>
      <c r="K48" s="4" t="s">
        <v>23</v>
      </c>
      <c r="L48" s="10"/>
      <c r="M48" s="26" t="str">
        <f>HYPERLINK("https://www.bible.com/fr/audio-bible/152/NUM.1.S21","▶ Écouter AT")</f>
        <v>▶ Écouter AT</v>
      </c>
      <c r="N48" s="22" t="str">
        <f>HYPERLINK("https://www.bible.com/fr/audio-bible/152/1CO.6.S21","▶ Écouter NT")</f>
        <v>▶ Écouter NT</v>
      </c>
      <c r="O48" s="27" t="str">
        <f>HYPERLINK("https://www.bible.com/fr/audio-bible/152/HEB.7.S21","▶ Écouter miroir")</f>
        <v>▶ Écouter miroir</v>
      </c>
    </row>
    <row r="49" spans="1:15">
      <c r="A49" s="9">
        <v>48</v>
      </c>
      <c r="B49" s="5" t="s">
        <v>189</v>
      </c>
      <c r="C49" s="5">
        <v>7</v>
      </c>
      <c r="D49" s="4" t="s">
        <v>190</v>
      </c>
      <c r="E49" s="4" t="s">
        <v>191</v>
      </c>
      <c r="F49" s="5" t="s">
        <v>27</v>
      </c>
      <c r="G49" s="5" t="s">
        <v>130</v>
      </c>
      <c r="H49" s="5" t="s">
        <v>131</v>
      </c>
      <c r="I49" s="5" t="s">
        <v>57</v>
      </c>
      <c r="J49" s="4" t="s">
        <v>132</v>
      </c>
      <c r="K49" s="4" t="s">
        <v>23</v>
      </c>
      <c r="L49" s="10"/>
      <c r="M49" s="26" t="str">
        <f>HYPERLINK("https://www.bible.com/fr/audio-bible/152/NUM.3.S21","▶ Écouter AT")</f>
        <v>▶ Écouter AT</v>
      </c>
      <c r="N49" s="22" t="str">
        <f>HYPERLINK("https://www.bible.com/fr/audio-bible/152/1CO.5.S21","▶ Écouter NT")</f>
        <v>▶ Écouter NT</v>
      </c>
      <c r="O49" s="27" t="str">
        <f>HYPERLINK("https://www.bible.com/fr/audio-bible/152/HEB.7.S21","▶ Écouter miroir")</f>
        <v>▶ Écouter miroir</v>
      </c>
    </row>
    <row r="50" spans="1:15">
      <c r="A50" s="9">
        <v>49</v>
      </c>
      <c r="B50" s="5" t="s">
        <v>192</v>
      </c>
      <c r="C50" s="5">
        <v>7</v>
      </c>
      <c r="D50" s="4" t="s">
        <v>193</v>
      </c>
      <c r="E50" s="4" t="s">
        <v>194</v>
      </c>
      <c r="F50" s="5" t="s">
        <v>27</v>
      </c>
      <c r="G50" s="5" t="s">
        <v>130</v>
      </c>
      <c r="H50" s="5" t="s">
        <v>131</v>
      </c>
      <c r="I50" s="5" t="s">
        <v>57</v>
      </c>
      <c r="J50" s="4" t="s">
        <v>132</v>
      </c>
      <c r="K50" s="4" t="s">
        <v>23</v>
      </c>
      <c r="L50" s="10"/>
      <c r="M50" s="26" t="str">
        <f>HYPERLINK("https://www.bible.com/fr/audio-bible/152/NUM.6.S21","▶ Écouter AT")</f>
        <v>▶ Écouter AT</v>
      </c>
      <c r="N50" s="22" t="str">
        <f>HYPERLINK("https://www.bible.com/fr/audio-bible/152/ACT.5.S21","▶ Écouter NT")</f>
        <v>▶ Écouter NT</v>
      </c>
      <c r="O50" s="27" t="str">
        <f>HYPERLINK("https://www.bible.com/fr/audio-bible/152/HEB.7.S21","▶ Écouter miroir")</f>
        <v>▶ Écouter miroir</v>
      </c>
    </row>
    <row r="51" spans="1:15" ht="27.6">
      <c r="A51" s="9">
        <v>50</v>
      </c>
      <c r="B51" s="5" t="s">
        <v>195</v>
      </c>
      <c r="C51" s="5">
        <v>8</v>
      </c>
      <c r="D51" s="4" t="s">
        <v>196</v>
      </c>
      <c r="E51" s="4" t="s">
        <v>120</v>
      </c>
      <c r="F51" s="5" t="s">
        <v>18</v>
      </c>
      <c r="G51" s="5" t="s">
        <v>19</v>
      </c>
      <c r="H51" s="5" t="s">
        <v>121</v>
      </c>
      <c r="I51" s="5" t="s">
        <v>122</v>
      </c>
      <c r="J51" s="4" t="s">
        <v>123</v>
      </c>
      <c r="K51" s="4" t="s">
        <v>23</v>
      </c>
      <c r="L51" s="10"/>
      <c r="M51" s="26" t="str">
        <f>HYPERLINK("https://www.bible.com/fr/audio-bible/152/NUM.8.S21","▶ Écouter AT")</f>
        <v>▶ Écouter AT</v>
      </c>
      <c r="N51" s="22" t="str">
        <f>HYPERLINK("https://www.bible.com/fr/audio-bible/152/HEB.3.S21","▶ Écouter NT")</f>
        <v>▶ Écouter NT</v>
      </c>
      <c r="O51" s="27"/>
    </row>
    <row r="52" spans="1:15" ht="27.6">
      <c r="A52" s="9">
        <v>51</v>
      </c>
      <c r="B52" s="5" t="s">
        <v>197</v>
      </c>
      <c r="C52" s="5">
        <v>8</v>
      </c>
      <c r="D52" s="4" t="s">
        <v>198</v>
      </c>
      <c r="E52" s="4" t="s">
        <v>199</v>
      </c>
      <c r="F52" s="5" t="s">
        <v>27</v>
      </c>
      <c r="G52" s="5" t="s">
        <v>120</v>
      </c>
      <c r="H52" s="5" t="s">
        <v>121</v>
      </c>
      <c r="I52" s="5" t="s">
        <v>122</v>
      </c>
      <c r="J52" s="4" t="s">
        <v>123</v>
      </c>
      <c r="K52" s="4" t="s">
        <v>23</v>
      </c>
      <c r="L52" s="10"/>
      <c r="M52" s="26" t="str">
        <f>HYPERLINK("https://www.bible.com/fr/audio-bible/152/NUM.11.S21","▶ Écouter AT")</f>
        <v>▶ Écouter AT</v>
      </c>
      <c r="N52" s="22" t="str">
        <f>HYPERLINK("https://www.bible.com/fr/audio-bible/152/MAT.24.S21","▶ Écouter NT")</f>
        <v>▶ Écouter NT</v>
      </c>
      <c r="O52" s="27" t="str">
        <f>HYPERLINK("https://www.bible.com/fr/audio-bible/152/HEB.3.S21","▶ Écouter miroir")</f>
        <v>▶ Écouter miroir</v>
      </c>
    </row>
    <row r="53" spans="1:15">
      <c r="A53" s="9">
        <v>52</v>
      </c>
      <c r="B53" s="5" t="s">
        <v>200</v>
      </c>
      <c r="C53" s="5">
        <v>8</v>
      </c>
      <c r="D53" s="4" t="s">
        <v>201</v>
      </c>
      <c r="E53" s="4" t="s">
        <v>202</v>
      </c>
      <c r="F53" s="5" t="s">
        <v>27</v>
      </c>
      <c r="G53" s="5" t="s">
        <v>130</v>
      </c>
      <c r="H53" s="5" t="s">
        <v>131</v>
      </c>
      <c r="I53" s="5" t="s">
        <v>57</v>
      </c>
      <c r="J53" s="4" t="s">
        <v>132</v>
      </c>
      <c r="K53" s="4" t="s">
        <v>23</v>
      </c>
      <c r="L53" s="10"/>
      <c r="M53" s="26" t="str">
        <f>HYPERLINK("https://www.bible.com/fr/audio-bible/152/NUM.13.S21","▶ Écouter AT")</f>
        <v>▶ Écouter AT</v>
      </c>
      <c r="N53" s="22" t="str">
        <f>HYPERLINK("https://www.bible.com/fr/audio-bible/152/MAT.25.S21","▶ Écouter NT")</f>
        <v>▶ Écouter NT</v>
      </c>
      <c r="O53" s="27" t="str">
        <f>HYPERLINK("https://www.bible.com/fr/audio-bible/152/HEB.7.S21","▶ Écouter miroir")</f>
        <v>▶ Écouter miroir</v>
      </c>
    </row>
    <row r="54" spans="1:15">
      <c r="A54" s="9">
        <v>53</v>
      </c>
      <c r="B54" s="5" t="s">
        <v>203</v>
      </c>
      <c r="C54" s="5">
        <v>8</v>
      </c>
      <c r="D54" s="4" t="s">
        <v>204</v>
      </c>
      <c r="E54" s="4" t="s">
        <v>130</v>
      </c>
      <c r="F54" s="5" t="s">
        <v>18</v>
      </c>
      <c r="G54" s="5" t="s">
        <v>19</v>
      </c>
      <c r="H54" s="5" t="s">
        <v>131</v>
      </c>
      <c r="I54" s="5" t="s">
        <v>57</v>
      </c>
      <c r="J54" s="4" t="s">
        <v>132</v>
      </c>
      <c r="K54" s="4" t="s">
        <v>23</v>
      </c>
      <c r="L54" s="10"/>
      <c r="M54" s="26" t="str">
        <f>HYPERLINK("https://www.bible.com/fr/audio-bible/152/NUM.16.S21","▶ Écouter AT")</f>
        <v>▶ Écouter AT</v>
      </c>
      <c r="N54" s="22" t="str">
        <f>HYPERLINK("https://www.bible.com/fr/audio-bible/152/HEB.7.S21","▶ Écouter NT")</f>
        <v>▶ Écouter NT</v>
      </c>
      <c r="O54" s="27"/>
    </row>
    <row r="55" spans="1:15">
      <c r="A55" s="9">
        <v>54</v>
      </c>
      <c r="B55" s="5" t="s">
        <v>205</v>
      </c>
      <c r="C55" s="5">
        <v>8</v>
      </c>
      <c r="D55" s="4" t="s">
        <v>206</v>
      </c>
      <c r="E55" s="4" t="s">
        <v>207</v>
      </c>
      <c r="F55" s="5" t="s">
        <v>27</v>
      </c>
      <c r="G55" s="5" t="s">
        <v>130</v>
      </c>
      <c r="H55" s="5" t="s">
        <v>131</v>
      </c>
      <c r="I55" s="5" t="s">
        <v>57</v>
      </c>
      <c r="J55" s="4" t="s">
        <v>132</v>
      </c>
      <c r="K55" s="4" t="s">
        <v>23</v>
      </c>
      <c r="L55" s="10"/>
      <c r="M55" s="26" t="str">
        <f>HYPERLINK("https://www.bible.com/fr/audio-bible/152/NUM.18.S21","▶ Écouter AT")</f>
        <v>▶ Écouter AT</v>
      </c>
      <c r="N55" s="22" t="str">
        <f>HYPERLINK("https://www.bible.com/fr/audio-bible/152/MRK.4.S21","▶ Écouter NT")</f>
        <v>▶ Écouter NT</v>
      </c>
      <c r="O55" s="27" t="str">
        <f>HYPERLINK("https://www.bible.com/fr/audio-bible/152/HEB.7.S21","▶ Écouter miroir")</f>
        <v>▶ Écouter miroir</v>
      </c>
    </row>
    <row r="56" spans="1:15">
      <c r="A56" s="9">
        <v>55</v>
      </c>
      <c r="B56" s="5" t="s">
        <v>208</v>
      </c>
      <c r="C56" s="5">
        <v>8</v>
      </c>
      <c r="D56" s="4" t="s">
        <v>209</v>
      </c>
      <c r="E56" s="4" t="s">
        <v>210</v>
      </c>
      <c r="F56" s="5" t="s">
        <v>27</v>
      </c>
      <c r="G56" s="5" t="s">
        <v>19</v>
      </c>
      <c r="H56" s="5" t="s">
        <v>211</v>
      </c>
      <c r="I56" s="5" t="s">
        <v>212</v>
      </c>
      <c r="J56" s="4" t="s">
        <v>213</v>
      </c>
      <c r="K56" s="4" t="s">
        <v>23</v>
      </c>
      <c r="L56" s="10"/>
      <c r="M56" s="26" t="str">
        <f>HYPERLINK("https://www.bible.com/fr/audio-bible/152/NUM.21.S21","▶ Écouter AT")</f>
        <v>▶ Écouter AT</v>
      </c>
      <c r="N56" s="22" t="str">
        <f>HYPERLINK("https://www.bible.com/fr/audio-bible/152/MRK.6.S21","▶ Écouter NT")</f>
        <v>▶ Écouter NT</v>
      </c>
      <c r="O56" s="27"/>
    </row>
    <row r="57" spans="1:15">
      <c r="A57" s="9">
        <v>56</v>
      </c>
      <c r="B57" s="5" t="s">
        <v>214</v>
      </c>
      <c r="C57" s="5">
        <v>8</v>
      </c>
      <c r="D57" s="4" t="s">
        <v>215</v>
      </c>
      <c r="E57" s="4" t="s">
        <v>216</v>
      </c>
      <c r="F57" s="5" t="s">
        <v>27</v>
      </c>
      <c r="G57" s="5" t="s">
        <v>19</v>
      </c>
      <c r="H57" s="5" t="s">
        <v>211</v>
      </c>
      <c r="I57" s="5" t="s">
        <v>212</v>
      </c>
      <c r="J57" s="4" t="s">
        <v>213</v>
      </c>
      <c r="K57" s="4" t="s">
        <v>23</v>
      </c>
      <c r="L57" s="10"/>
      <c r="M57" s="26" t="str">
        <f>HYPERLINK("https://www.bible.com/fr/audio-bible/152/NUM.23.S21","▶ Écouter AT")</f>
        <v>▶ Écouter AT</v>
      </c>
      <c r="N57" s="22" t="str">
        <f>HYPERLINK("https://www.bible.com/fr/audio-bible/152/MAT.1.S21","▶ Écouter NT")</f>
        <v>▶ Écouter NT</v>
      </c>
      <c r="O57" s="27"/>
    </row>
    <row r="58" spans="1:15">
      <c r="A58" s="9">
        <v>57</v>
      </c>
      <c r="B58" s="5" t="s">
        <v>217</v>
      </c>
      <c r="C58" s="5">
        <v>9</v>
      </c>
      <c r="D58" s="4" t="s">
        <v>218</v>
      </c>
      <c r="E58" s="4" t="s">
        <v>219</v>
      </c>
      <c r="F58" s="5" t="s">
        <v>27</v>
      </c>
      <c r="G58" s="5" t="s">
        <v>33</v>
      </c>
      <c r="H58" s="5" t="s">
        <v>34</v>
      </c>
      <c r="I58" s="5" t="s">
        <v>18</v>
      </c>
      <c r="J58" s="4" t="s">
        <v>35</v>
      </c>
      <c r="K58" s="4" t="s">
        <v>23</v>
      </c>
      <c r="L58" s="10"/>
      <c r="M58" s="26" t="str">
        <f>HYPERLINK("https://www.bible.com/fr/audio-bible/152/NUM.26.S21","▶ Écouter AT")</f>
        <v>▶ Écouter AT</v>
      </c>
      <c r="N58" s="22" t="str">
        <f>HYPERLINK("https://www.bible.com/fr/audio-bible/152/1TI.3.S21","▶ Écouter NT")</f>
        <v>▶ Écouter NT</v>
      </c>
      <c r="O58" s="27" t="str">
        <f>HYPERLINK("https://www.bible.com/fr/audio-bible/152/HEB.8.S21","▶ Écouter miroir")</f>
        <v>▶ Écouter miroir</v>
      </c>
    </row>
    <row r="59" spans="1:15">
      <c r="A59" s="9">
        <v>58</v>
      </c>
      <c r="B59" s="5" t="s">
        <v>220</v>
      </c>
      <c r="C59" s="5">
        <v>9</v>
      </c>
      <c r="D59" s="4" t="s">
        <v>221</v>
      </c>
      <c r="E59" s="4" t="s">
        <v>222</v>
      </c>
      <c r="F59" s="5" t="s">
        <v>27</v>
      </c>
      <c r="G59" s="5" t="s">
        <v>19</v>
      </c>
      <c r="H59" s="5" t="s">
        <v>34</v>
      </c>
      <c r="I59" s="5" t="s">
        <v>18</v>
      </c>
      <c r="J59" s="4" t="s">
        <v>35</v>
      </c>
      <c r="K59" s="4" t="s">
        <v>23</v>
      </c>
      <c r="L59" s="10"/>
      <c r="M59" s="26" t="str">
        <f>HYPERLINK("https://www.bible.com/fr/audio-bible/152/NUM.29.S21","▶ Écouter AT")</f>
        <v>▶ Écouter AT</v>
      </c>
      <c r="N59" s="22" t="str">
        <f>HYPERLINK("https://www.bible.com/fr/audio-bible/152/HEB.12.S21","▶ Écouter NT")</f>
        <v>▶ Écouter NT</v>
      </c>
      <c r="O59" s="27"/>
    </row>
    <row r="60" spans="1:15">
      <c r="A60" s="9">
        <v>59</v>
      </c>
      <c r="B60" s="5" t="s">
        <v>223</v>
      </c>
      <c r="C60" s="5">
        <v>9</v>
      </c>
      <c r="D60" s="4" t="s">
        <v>224</v>
      </c>
      <c r="E60" s="4" t="s">
        <v>225</v>
      </c>
      <c r="F60" s="5" t="s">
        <v>27</v>
      </c>
      <c r="G60" s="5" t="s">
        <v>19</v>
      </c>
      <c r="H60" s="5" t="s">
        <v>226</v>
      </c>
      <c r="I60" s="5" t="s">
        <v>89</v>
      </c>
      <c r="J60" s="4" t="s">
        <v>227</v>
      </c>
      <c r="K60" s="4" t="s">
        <v>23</v>
      </c>
      <c r="L60" s="10"/>
      <c r="M60" s="26" t="str">
        <f>HYPERLINK("https://www.bible.com/fr/audio-bible/152/NUM.31.S21","▶ Écouter AT")</f>
        <v>▶ Écouter AT</v>
      </c>
      <c r="N60" s="22" t="str">
        <f>HYPERLINK("https://www.bible.com/fr/audio-bible/152/ROM.2.S21","▶ Écouter NT")</f>
        <v>▶ Écouter NT</v>
      </c>
      <c r="O60" s="27"/>
    </row>
    <row r="61" spans="1:15">
      <c r="A61" s="9">
        <v>60</v>
      </c>
      <c r="B61" s="5" t="s">
        <v>228</v>
      </c>
      <c r="C61" s="5">
        <v>9</v>
      </c>
      <c r="D61" s="4" t="s">
        <v>229</v>
      </c>
      <c r="E61" s="4" t="s">
        <v>230</v>
      </c>
      <c r="F61" s="5" t="s">
        <v>27</v>
      </c>
      <c r="G61" s="5" t="s">
        <v>19</v>
      </c>
      <c r="H61" s="5" t="s">
        <v>226</v>
      </c>
      <c r="I61" s="5" t="s">
        <v>89</v>
      </c>
      <c r="J61" s="4" t="s">
        <v>227</v>
      </c>
      <c r="K61" s="4" t="s">
        <v>23</v>
      </c>
      <c r="L61" s="10"/>
      <c r="M61" s="26" t="str">
        <f>HYPERLINK("https://www.bible.com/fr/audio-bible/152/NUM.34.S21","▶ Écouter AT")</f>
        <v>▶ Écouter AT</v>
      </c>
      <c r="N61" s="22" t="str">
        <f>HYPERLINK("https://www.bible.com/fr/audio-bible/152/ROM.1.S21","▶ Écouter NT")</f>
        <v>▶ Écouter NT</v>
      </c>
      <c r="O61" s="27"/>
    </row>
    <row r="62" spans="1:15" ht="27.6">
      <c r="A62" s="9">
        <v>61</v>
      </c>
      <c r="B62" s="5" t="s">
        <v>231</v>
      </c>
      <c r="C62" s="5">
        <v>9</v>
      </c>
      <c r="D62" s="4" t="s">
        <v>232</v>
      </c>
      <c r="E62" s="4" t="s">
        <v>233</v>
      </c>
      <c r="F62" s="5" t="s">
        <v>27</v>
      </c>
      <c r="G62" s="5" t="s">
        <v>234</v>
      </c>
      <c r="H62" s="5" t="s">
        <v>235</v>
      </c>
      <c r="I62" s="5" t="s">
        <v>57</v>
      </c>
      <c r="J62" s="4" t="s">
        <v>236</v>
      </c>
      <c r="K62" s="4" t="s">
        <v>23</v>
      </c>
      <c r="L62" s="10"/>
      <c r="M62" s="26" t="str">
        <f>HYPERLINK("https://www.bible.com/fr/audio-bible/152/DEU.1.S21","▶ Écouter AT")</f>
        <v>▶ Écouter AT</v>
      </c>
      <c r="N62" s="22" t="str">
        <f>HYPERLINK("https://www.bible.com/fr/audio-bible/152/MRK.16.S21","▶ Écouter NT")</f>
        <v>▶ Écouter NT</v>
      </c>
      <c r="O62" s="27" t="str">
        <f>HYPERLINK("https://www.bible.com/fr/audio-bible/152/HEB.4.S21","▶ Écouter miroir")</f>
        <v>▶ Écouter miroir</v>
      </c>
    </row>
    <row r="63" spans="1:15" ht="27.6">
      <c r="A63" s="9">
        <v>62</v>
      </c>
      <c r="B63" s="5" t="s">
        <v>237</v>
      </c>
      <c r="C63" s="5">
        <v>9</v>
      </c>
      <c r="D63" s="4" t="s">
        <v>238</v>
      </c>
      <c r="E63" s="4" t="s">
        <v>239</v>
      </c>
      <c r="F63" s="5" t="s">
        <v>27</v>
      </c>
      <c r="G63" s="5" t="s">
        <v>19</v>
      </c>
      <c r="H63" s="5" t="s">
        <v>121</v>
      </c>
      <c r="I63" s="5" t="s">
        <v>122</v>
      </c>
      <c r="J63" s="4" t="s">
        <v>123</v>
      </c>
      <c r="K63" s="4" t="s">
        <v>23</v>
      </c>
      <c r="L63" s="10"/>
      <c r="M63" s="26" t="str">
        <f>HYPERLINK("https://www.bible.com/fr/audio-bible/152/DEU.3.S21","▶ Écouter AT")</f>
        <v>▶ Écouter AT</v>
      </c>
      <c r="N63" s="22" t="str">
        <f>HYPERLINK("https://www.bible.com/fr/audio-bible/152/MAT.3.S21","▶ Écouter NT")</f>
        <v>▶ Écouter NT</v>
      </c>
      <c r="O63" s="27"/>
    </row>
    <row r="64" spans="1:15" ht="27.6">
      <c r="A64" s="9">
        <v>63</v>
      </c>
      <c r="B64" s="5" t="s">
        <v>240</v>
      </c>
      <c r="C64" s="5">
        <v>9</v>
      </c>
      <c r="D64" s="4" t="s">
        <v>241</v>
      </c>
      <c r="E64" s="4" t="s">
        <v>242</v>
      </c>
      <c r="F64" s="5" t="s">
        <v>27</v>
      </c>
      <c r="G64" s="5" t="s">
        <v>19</v>
      </c>
      <c r="H64" s="5" t="s">
        <v>243</v>
      </c>
      <c r="I64" s="5" t="s">
        <v>89</v>
      </c>
      <c r="J64" s="4" t="s">
        <v>244</v>
      </c>
      <c r="K64" s="4" t="s">
        <v>23</v>
      </c>
      <c r="L64" s="10"/>
      <c r="M64" s="26" t="str">
        <f>HYPERLINK("https://www.bible.com/fr/audio-bible/152/DEU.5.S21","▶ Écouter AT")</f>
        <v>▶ Écouter AT</v>
      </c>
      <c r="N64" s="22" t="str">
        <f>HYPERLINK("https://www.bible.com/fr/audio-bible/152/MAT.6.S21","▶ Écouter NT")</f>
        <v>▶ Écouter NT</v>
      </c>
      <c r="O64" s="27"/>
    </row>
    <row r="65" spans="1:15" ht="27.6">
      <c r="A65" s="9">
        <v>64</v>
      </c>
      <c r="B65" s="5" t="s">
        <v>245</v>
      </c>
      <c r="C65" s="5">
        <v>10</v>
      </c>
      <c r="D65" s="4" t="s">
        <v>246</v>
      </c>
      <c r="E65" s="4" t="s">
        <v>247</v>
      </c>
      <c r="F65" s="5" t="s">
        <v>27</v>
      </c>
      <c r="G65" s="5" t="s">
        <v>19</v>
      </c>
      <c r="H65" s="5" t="s">
        <v>243</v>
      </c>
      <c r="I65" s="5" t="s">
        <v>89</v>
      </c>
      <c r="J65" s="4" t="s">
        <v>244</v>
      </c>
      <c r="K65" s="4" t="s">
        <v>23</v>
      </c>
      <c r="L65" s="10"/>
      <c r="M65" s="26" t="str">
        <f>HYPERLINK("https://www.bible.com/fr/audio-bible/152/DEU.8.S21","▶ Écouter AT")</f>
        <v>▶ Écouter AT</v>
      </c>
      <c r="N65" s="22" t="str">
        <f>HYPERLINK("https://www.bible.com/fr/audio-bible/152/MAT.7.S21","▶ Écouter NT")</f>
        <v>▶ Écouter NT</v>
      </c>
      <c r="O65" s="27"/>
    </row>
    <row r="66" spans="1:15" ht="27.6">
      <c r="A66" s="9">
        <v>65</v>
      </c>
      <c r="B66" s="5" t="s">
        <v>248</v>
      </c>
      <c r="C66" s="5">
        <v>10</v>
      </c>
      <c r="D66" s="4" t="s">
        <v>249</v>
      </c>
      <c r="E66" s="4" t="s">
        <v>250</v>
      </c>
      <c r="F66" s="5" t="s">
        <v>27</v>
      </c>
      <c r="G66" s="5" t="s">
        <v>19</v>
      </c>
      <c r="H66" s="5" t="s">
        <v>243</v>
      </c>
      <c r="I66" s="5" t="s">
        <v>89</v>
      </c>
      <c r="J66" s="4" t="s">
        <v>244</v>
      </c>
      <c r="K66" s="4" t="s">
        <v>23</v>
      </c>
      <c r="L66" s="10"/>
      <c r="M66" s="26" t="str">
        <f>HYPERLINK("https://www.bible.com/fr/audio-bible/152/DEU.10.S21","▶ Écouter AT")</f>
        <v>▶ Écouter AT</v>
      </c>
      <c r="N66" s="22" t="str">
        <f>HYPERLINK("https://www.bible.com/fr/audio-bible/152/MAT.5.S21","▶ Écouter NT")</f>
        <v>▶ Écouter NT</v>
      </c>
      <c r="O66" s="27"/>
    </row>
    <row r="67" spans="1:15">
      <c r="A67" s="9">
        <v>66</v>
      </c>
      <c r="B67" s="5" t="s">
        <v>251</v>
      </c>
      <c r="C67" s="5">
        <v>10</v>
      </c>
      <c r="D67" s="4" t="s">
        <v>252</v>
      </c>
      <c r="E67" s="4" t="s">
        <v>253</v>
      </c>
      <c r="F67" s="5" t="s">
        <v>18</v>
      </c>
      <c r="G67" s="5" t="s">
        <v>19</v>
      </c>
      <c r="H67" s="5" t="s">
        <v>254</v>
      </c>
      <c r="I67" s="5" t="s">
        <v>57</v>
      </c>
      <c r="J67" s="4" t="s">
        <v>255</v>
      </c>
      <c r="K67" s="4" t="s">
        <v>23</v>
      </c>
      <c r="L67" s="10"/>
      <c r="M67" s="26" t="str">
        <f>HYPERLINK("https://www.bible.com/fr/audio-bible/152/DEU.13.S21","▶ Écouter AT")</f>
        <v>▶ Écouter AT</v>
      </c>
      <c r="N67" s="22" t="str">
        <f>HYPERLINK("https://www.bible.com/fr/audio-bible/152/LUK.1.S21","▶ Écouter NT")</f>
        <v>▶ Écouter NT</v>
      </c>
      <c r="O67" s="27"/>
    </row>
    <row r="68" spans="1:15">
      <c r="A68" s="9">
        <v>67</v>
      </c>
      <c r="B68" s="5" t="s">
        <v>256</v>
      </c>
      <c r="C68" s="5">
        <v>10</v>
      </c>
      <c r="D68" s="4" t="s">
        <v>257</v>
      </c>
      <c r="E68" s="4" t="s">
        <v>258</v>
      </c>
      <c r="F68" s="5" t="s">
        <v>27</v>
      </c>
      <c r="G68" s="5" t="s">
        <v>19</v>
      </c>
      <c r="H68" s="5" t="s">
        <v>226</v>
      </c>
      <c r="I68" s="5" t="s">
        <v>89</v>
      </c>
      <c r="J68" s="4" t="s">
        <v>227</v>
      </c>
      <c r="K68" s="4" t="s">
        <v>23</v>
      </c>
      <c r="L68" s="10"/>
      <c r="M68" s="26" t="str">
        <f>HYPERLINK("https://www.bible.com/fr/audio-bible/152/DEU.15.S21","▶ Écouter AT")</f>
        <v>▶ Écouter AT</v>
      </c>
      <c r="N68" s="22" t="str">
        <f>HYPERLINK("https://www.bible.com/fr/audio-bible/152/REV.18.S21","▶ Écouter NT")</f>
        <v>▶ Écouter NT</v>
      </c>
      <c r="O68" s="27"/>
    </row>
    <row r="69" spans="1:15">
      <c r="A69" s="9">
        <v>68</v>
      </c>
      <c r="B69" s="5" t="s">
        <v>259</v>
      </c>
      <c r="C69" s="5">
        <v>10</v>
      </c>
      <c r="D69" s="4" t="s">
        <v>260</v>
      </c>
      <c r="E69" s="4" t="s">
        <v>261</v>
      </c>
      <c r="F69" s="5" t="s">
        <v>27</v>
      </c>
      <c r="G69" s="5" t="s">
        <v>19</v>
      </c>
      <c r="H69" s="5" t="s">
        <v>262</v>
      </c>
      <c r="I69" s="5" t="s">
        <v>89</v>
      </c>
      <c r="J69" s="4" t="s">
        <v>263</v>
      </c>
      <c r="K69" s="4" t="s">
        <v>23</v>
      </c>
      <c r="L69" s="10"/>
      <c r="M69" s="26" t="str">
        <f>HYPERLINK("https://www.bible.com/fr/audio-bible/152/DEU.18.S21","▶ Écouter AT")</f>
        <v>▶ Écouter AT</v>
      </c>
      <c r="N69" s="22" t="str">
        <f>HYPERLINK("https://www.bible.com/fr/audio-bible/152/ROM.12.S21","▶ Écouter NT")</f>
        <v>▶ Écouter NT</v>
      </c>
      <c r="O69" s="27"/>
    </row>
    <row r="70" spans="1:15">
      <c r="A70" s="9">
        <v>69</v>
      </c>
      <c r="B70" s="5" t="s">
        <v>264</v>
      </c>
      <c r="C70" s="5">
        <v>10</v>
      </c>
      <c r="D70" s="4" t="s">
        <v>265</v>
      </c>
      <c r="E70" s="4" t="s">
        <v>266</v>
      </c>
      <c r="F70" s="5" t="s">
        <v>27</v>
      </c>
      <c r="G70" s="5" t="s">
        <v>267</v>
      </c>
      <c r="H70" s="5" t="s">
        <v>226</v>
      </c>
      <c r="I70" s="5" t="s">
        <v>89</v>
      </c>
      <c r="J70" s="4" t="s">
        <v>227</v>
      </c>
      <c r="K70" s="4" t="s">
        <v>23</v>
      </c>
      <c r="L70" s="10"/>
      <c r="M70" s="26" t="str">
        <f>HYPERLINK("https://www.bible.com/fr/audio-bible/152/DEU.21.S21","▶ Écouter AT")</f>
        <v>▶ Écouter AT</v>
      </c>
      <c r="N70" s="22" t="str">
        <f>HYPERLINK("https://www.bible.com/fr/audio-bible/152/1TH.4.S21","▶ Écouter NT")</f>
        <v>▶ Écouter NT</v>
      </c>
      <c r="O70" s="27" t="str">
        <f>HYPERLINK("https://www.bible.com/fr/audio-bible/152/JAS.2.S21","▶ Écouter miroir")</f>
        <v>▶ Écouter miroir</v>
      </c>
    </row>
    <row r="71" spans="1:15">
      <c r="A71" s="9">
        <v>70</v>
      </c>
      <c r="B71" s="5" t="s">
        <v>268</v>
      </c>
      <c r="C71" s="5">
        <v>10</v>
      </c>
      <c r="D71" s="4" t="s">
        <v>269</v>
      </c>
      <c r="E71" s="4" t="s">
        <v>270</v>
      </c>
      <c r="F71" s="5" t="s">
        <v>27</v>
      </c>
      <c r="G71" s="5" t="s">
        <v>267</v>
      </c>
      <c r="H71" s="5" t="s">
        <v>226</v>
      </c>
      <c r="I71" s="5" t="s">
        <v>89</v>
      </c>
      <c r="J71" s="4" t="s">
        <v>227</v>
      </c>
      <c r="K71" s="4" t="s">
        <v>23</v>
      </c>
      <c r="L71" s="10"/>
      <c r="M71" s="26" t="str">
        <f>HYPERLINK("https://www.bible.com/fr/audio-bible/152/DEU.23.S21","▶ Écouter AT")</f>
        <v>▶ Écouter AT</v>
      </c>
      <c r="N71" s="22" t="str">
        <f>HYPERLINK("https://www.bible.com/fr/audio-bible/152/1TH.3.S21","▶ Écouter NT")</f>
        <v>▶ Écouter NT</v>
      </c>
      <c r="O71" s="27" t="str">
        <f>HYPERLINK("https://www.bible.com/fr/audio-bible/152/JAS.2.S21","▶ Écouter miroir")</f>
        <v>▶ Écouter miroir</v>
      </c>
    </row>
    <row r="72" spans="1:15">
      <c r="A72" s="9">
        <v>71</v>
      </c>
      <c r="B72" s="5" t="s">
        <v>271</v>
      </c>
      <c r="C72" s="5">
        <v>11</v>
      </c>
      <c r="D72" s="4" t="s">
        <v>272</v>
      </c>
      <c r="E72" s="4" t="s">
        <v>273</v>
      </c>
      <c r="F72" s="5" t="s">
        <v>27</v>
      </c>
      <c r="G72" s="5" t="s">
        <v>33</v>
      </c>
      <c r="H72" s="5" t="s">
        <v>34</v>
      </c>
      <c r="I72" s="5" t="s">
        <v>18</v>
      </c>
      <c r="J72" s="4" t="s">
        <v>35</v>
      </c>
      <c r="K72" s="4" t="s">
        <v>23</v>
      </c>
      <c r="L72" s="10"/>
      <c r="M72" s="26" t="str">
        <f>HYPERLINK("https://www.bible.com/fr/audio-bible/152/DEU.26.S21","▶ Écouter AT")</f>
        <v>▶ Écouter AT</v>
      </c>
      <c r="N72" s="22" t="str">
        <f>HYPERLINK("https://www.bible.com/fr/audio-bible/152/GAL.5.S21","▶ Écouter NT")</f>
        <v>▶ Écouter NT</v>
      </c>
      <c r="O72" s="27" t="str">
        <f>HYPERLINK("https://www.bible.com/fr/audio-bible/152/HEB.8.S21","▶ Écouter miroir")</f>
        <v>▶ Écouter miroir</v>
      </c>
    </row>
    <row r="73" spans="1:15">
      <c r="A73" s="9">
        <v>72</v>
      </c>
      <c r="B73" s="5" t="s">
        <v>274</v>
      </c>
      <c r="C73" s="5">
        <v>11</v>
      </c>
      <c r="D73" s="4" t="s">
        <v>275</v>
      </c>
      <c r="E73" s="4" t="s">
        <v>276</v>
      </c>
      <c r="F73" s="5" t="s">
        <v>27</v>
      </c>
      <c r="G73" s="5" t="s">
        <v>33</v>
      </c>
      <c r="H73" s="5" t="s">
        <v>34</v>
      </c>
      <c r="I73" s="5" t="s">
        <v>18</v>
      </c>
      <c r="J73" s="4" t="s">
        <v>35</v>
      </c>
      <c r="K73" s="4" t="s">
        <v>23</v>
      </c>
      <c r="L73" s="10"/>
      <c r="M73" s="26" t="str">
        <f>HYPERLINK("https://www.bible.com/fr/audio-bible/152/DEU.28.S21","▶ Écouter AT")</f>
        <v>▶ Écouter AT</v>
      </c>
      <c r="N73" s="22" t="str">
        <f>HYPERLINK("https://www.bible.com/fr/audio-bible/152/LUK.11.S21","▶ Écouter NT")</f>
        <v>▶ Écouter NT</v>
      </c>
      <c r="O73" s="27" t="str">
        <f>HYPERLINK("https://www.bible.com/fr/audio-bible/152/HEB.8.S21","▶ Écouter miroir")</f>
        <v>▶ Écouter miroir</v>
      </c>
    </row>
    <row r="74" spans="1:15" ht="27.6">
      <c r="A74" s="9">
        <v>73</v>
      </c>
      <c r="B74" s="5" t="s">
        <v>277</v>
      </c>
      <c r="C74" s="5">
        <v>11</v>
      </c>
      <c r="D74" s="4" t="s">
        <v>278</v>
      </c>
      <c r="E74" s="4" t="s">
        <v>279</v>
      </c>
      <c r="F74" s="5" t="s">
        <v>27</v>
      </c>
      <c r="G74" s="5" t="s">
        <v>280</v>
      </c>
      <c r="H74" s="5" t="s">
        <v>281</v>
      </c>
      <c r="I74" s="5" t="s">
        <v>21</v>
      </c>
      <c r="J74" s="4" t="s">
        <v>282</v>
      </c>
      <c r="K74" s="4" t="s">
        <v>23</v>
      </c>
      <c r="L74" s="10"/>
      <c r="M74" s="26" t="str">
        <f>HYPERLINK("https://www.bible.com/fr/audio-bible/152/DEU.31.S21","▶ Écouter AT")</f>
        <v>▶ Écouter AT</v>
      </c>
      <c r="N74" s="22" t="str">
        <f>HYPERLINK("https://www.bible.com/fr/audio-bible/152/LUK.10.S21","▶ Écouter NT")</f>
        <v>▶ Écouter NT</v>
      </c>
      <c r="O74" s="27" t="str">
        <f>HYPERLINK("https://www.bible.com/fr/audio-bible/152/1PE.1.S21","▶ Écouter miroir")</f>
        <v>▶ Écouter miroir</v>
      </c>
    </row>
    <row r="75" spans="1:15" ht="27.6">
      <c r="A75" s="9">
        <v>74</v>
      </c>
      <c r="B75" s="5" t="s">
        <v>283</v>
      </c>
      <c r="C75" s="5">
        <v>11</v>
      </c>
      <c r="D75" s="4" t="s">
        <v>284</v>
      </c>
      <c r="E75" s="4" t="s">
        <v>285</v>
      </c>
      <c r="F75" s="5" t="s">
        <v>27</v>
      </c>
      <c r="G75" s="5" t="s">
        <v>19</v>
      </c>
      <c r="H75" s="5" t="s">
        <v>34</v>
      </c>
      <c r="I75" s="5" t="s">
        <v>18</v>
      </c>
      <c r="J75" s="4" t="s">
        <v>35</v>
      </c>
      <c r="K75" s="4" t="s">
        <v>23</v>
      </c>
      <c r="L75" s="10"/>
      <c r="M75" s="26" t="str">
        <f>HYPERLINK("https://www.bible.com/fr/audio-bible/152/DEU.33.S21","▶ Écouter AT")</f>
        <v>▶ Écouter AT</v>
      </c>
      <c r="N75" s="22" t="str">
        <f>HYPERLINK("https://www.bible.com/fr/audio-bible/152/GAL.3.S21","▶ Écouter NT")</f>
        <v>▶ Écouter NT</v>
      </c>
      <c r="O75" s="27"/>
    </row>
    <row r="76" spans="1:15">
      <c r="A76" s="9">
        <v>75</v>
      </c>
      <c r="B76" s="5" t="s">
        <v>286</v>
      </c>
      <c r="C76" s="5">
        <v>11</v>
      </c>
      <c r="D76" s="4" t="s">
        <v>287</v>
      </c>
      <c r="E76" s="4" t="s">
        <v>288</v>
      </c>
      <c r="F76" s="5" t="s">
        <v>27</v>
      </c>
      <c r="G76" s="5" t="s">
        <v>33</v>
      </c>
      <c r="H76" s="5" t="s">
        <v>34</v>
      </c>
      <c r="I76" s="5" t="s">
        <v>18</v>
      </c>
      <c r="J76" s="4" t="s">
        <v>35</v>
      </c>
      <c r="K76" s="4" t="s">
        <v>23</v>
      </c>
      <c r="L76" s="10"/>
      <c r="M76" s="26" t="str">
        <f>HYPERLINK("https://www.bible.com/fr/audio-bible/152/JOS.2.S21","▶ Écouter AT")</f>
        <v>▶ Écouter AT</v>
      </c>
      <c r="N76" s="22" t="str">
        <f>HYPERLINK("https://www.bible.com/fr/audio-bible/152/LUK.6.S21","▶ Écouter NT")</f>
        <v>▶ Écouter NT</v>
      </c>
      <c r="O76" s="27" t="str">
        <f>HYPERLINK("https://www.bible.com/fr/audio-bible/152/HEB.8.S21","▶ Écouter miroir")</f>
        <v>▶ Écouter miroir</v>
      </c>
    </row>
    <row r="77" spans="1:15">
      <c r="A77" s="9">
        <v>76</v>
      </c>
      <c r="B77" s="5" t="s">
        <v>289</v>
      </c>
      <c r="C77" s="5">
        <v>11</v>
      </c>
      <c r="D77" s="4" t="s">
        <v>290</v>
      </c>
      <c r="E77" s="4" t="s">
        <v>291</v>
      </c>
      <c r="F77" s="5" t="s">
        <v>27</v>
      </c>
      <c r="G77" s="5" t="s">
        <v>33</v>
      </c>
      <c r="H77" s="5" t="s">
        <v>34</v>
      </c>
      <c r="I77" s="5" t="s">
        <v>18</v>
      </c>
      <c r="J77" s="4" t="s">
        <v>35</v>
      </c>
      <c r="K77" s="4" t="s">
        <v>23</v>
      </c>
      <c r="L77" s="10"/>
      <c r="M77" s="26" t="str">
        <f>HYPERLINK("https://www.bible.com/fr/audio-bible/152/JOS.4.S21","▶ Écouter AT")</f>
        <v>▶ Écouter AT</v>
      </c>
      <c r="N77" s="22" t="str">
        <f>HYPERLINK("https://www.bible.com/fr/audio-bible/152/LUK.7.S21","▶ Écouter NT")</f>
        <v>▶ Écouter NT</v>
      </c>
      <c r="O77" s="27" t="str">
        <f>HYPERLINK("https://www.bible.com/fr/audio-bible/152/HEB.8.S21","▶ Écouter miroir")</f>
        <v>▶ Écouter miroir</v>
      </c>
    </row>
    <row r="78" spans="1:15" ht="27.6">
      <c r="A78" s="9">
        <v>77</v>
      </c>
      <c r="B78" s="5" t="s">
        <v>292</v>
      </c>
      <c r="C78" s="5">
        <v>11</v>
      </c>
      <c r="D78" s="4" t="s">
        <v>293</v>
      </c>
      <c r="E78" s="4" t="s">
        <v>294</v>
      </c>
      <c r="F78" s="5" t="s">
        <v>27</v>
      </c>
      <c r="G78" s="5" t="s">
        <v>295</v>
      </c>
      <c r="H78" s="5" t="s">
        <v>296</v>
      </c>
      <c r="I78" s="5" t="s">
        <v>18</v>
      </c>
      <c r="J78" s="4" t="s">
        <v>297</v>
      </c>
      <c r="K78" s="4" t="s">
        <v>23</v>
      </c>
      <c r="L78" s="10"/>
      <c r="M78" s="26" t="str">
        <f>HYPERLINK("https://www.bible.com/fr/audio-bible/152/JOS.7.S21","▶ Écouter AT")</f>
        <v>▶ Écouter AT</v>
      </c>
      <c r="N78" s="22" t="str">
        <f>HYPERLINK("https://www.bible.com/fr/audio-bible/152/LUK.8.S21","▶ Écouter NT")</f>
        <v>▶ Écouter NT</v>
      </c>
      <c r="O78" s="27" t="str">
        <f>HYPERLINK("https://www.bible.com/fr/audio-bible/152/HEB.11.S21","▶ Écouter miroir")</f>
        <v>▶ Écouter miroir</v>
      </c>
    </row>
    <row r="79" spans="1:15" ht="27.6">
      <c r="A79" s="9">
        <v>78</v>
      </c>
      <c r="B79" s="5" t="s">
        <v>298</v>
      </c>
      <c r="C79" s="5">
        <v>12</v>
      </c>
      <c r="D79" s="4" t="s">
        <v>299</v>
      </c>
      <c r="E79" s="4" t="s">
        <v>300</v>
      </c>
      <c r="F79" s="5" t="s">
        <v>27</v>
      </c>
      <c r="G79" s="5" t="s">
        <v>295</v>
      </c>
      <c r="H79" s="5" t="s">
        <v>296</v>
      </c>
      <c r="I79" s="5" t="s">
        <v>18</v>
      </c>
      <c r="J79" s="4" t="s">
        <v>297</v>
      </c>
      <c r="K79" s="4" t="s">
        <v>23</v>
      </c>
      <c r="L79" s="10"/>
      <c r="M79" s="26" t="str">
        <f>HYPERLINK("https://www.bible.com/fr/audio-bible/152/JOS.9.S21","▶ Écouter AT")</f>
        <v>▶ Écouter AT</v>
      </c>
      <c r="N79" s="22" t="str">
        <f>HYPERLINK("https://www.bible.com/fr/audio-bible/152/LUK.9.S21","▶ Écouter NT")</f>
        <v>▶ Écouter NT</v>
      </c>
      <c r="O79" s="27" t="str">
        <f>HYPERLINK("https://www.bible.com/fr/audio-bible/152/HEB.11.S21","▶ Écouter miroir")</f>
        <v>▶ Écouter miroir</v>
      </c>
    </row>
    <row r="80" spans="1:15">
      <c r="A80" s="9">
        <v>79</v>
      </c>
      <c r="B80" s="5" t="s">
        <v>301</v>
      </c>
      <c r="C80" s="5">
        <v>12</v>
      </c>
      <c r="D80" s="4" t="s">
        <v>302</v>
      </c>
      <c r="E80" s="4" t="s">
        <v>303</v>
      </c>
      <c r="F80" s="5" t="s">
        <v>27</v>
      </c>
      <c r="G80" s="5" t="s">
        <v>19</v>
      </c>
      <c r="H80" s="5" t="s">
        <v>235</v>
      </c>
      <c r="I80" s="5" t="s">
        <v>57</v>
      </c>
      <c r="J80" s="4" t="s">
        <v>236</v>
      </c>
      <c r="K80" s="4" t="s">
        <v>23</v>
      </c>
      <c r="L80" s="10"/>
      <c r="M80" s="26" t="str">
        <f>HYPERLINK("https://www.bible.com/fr/audio-bible/152/JOS.12.S21","▶ Écouter AT")</f>
        <v>▶ Écouter AT</v>
      </c>
      <c r="N80" s="22" t="str">
        <f>HYPERLINK("https://www.bible.com/fr/audio-bible/152/HEB.3.S21","▶ Écouter NT")</f>
        <v>▶ Écouter NT</v>
      </c>
      <c r="O80" s="27"/>
    </row>
    <row r="81" spans="1:15">
      <c r="A81" s="9">
        <v>80</v>
      </c>
      <c r="B81" s="5" t="s">
        <v>304</v>
      </c>
      <c r="C81" s="5">
        <v>12</v>
      </c>
      <c r="D81" s="4" t="s">
        <v>305</v>
      </c>
      <c r="E81" s="4" t="s">
        <v>306</v>
      </c>
      <c r="F81" s="5" t="s">
        <v>27</v>
      </c>
      <c r="G81" s="5" t="s">
        <v>234</v>
      </c>
      <c r="H81" s="5" t="s">
        <v>235</v>
      </c>
      <c r="I81" s="5" t="s">
        <v>57</v>
      </c>
      <c r="J81" s="4" t="s">
        <v>236</v>
      </c>
      <c r="K81" s="4" t="s">
        <v>23</v>
      </c>
      <c r="L81" s="10"/>
      <c r="M81" s="26" t="str">
        <f>HYPERLINK("https://www.bible.com/fr/audio-bible/152/JOS.15.S21","▶ Écouter AT")</f>
        <v>▶ Écouter AT</v>
      </c>
      <c r="N81" s="22" t="str">
        <f>HYPERLINK("https://www.bible.com/fr/audio-bible/152/LUK.13.S21","▶ Écouter NT")</f>
        <v>▶ Écouter NT</v>
      </c>
      <c r="O81" s="27" t="str">
        <f>HYPERLINK("https://www.bible.com/fr/audio-bible/152/HEB.4.S21","▶ Écouter miroir")</f>
        <v>▶ Écouter miroir</v>
      </c>
    </row>
    <row r="82" spans="1:15">
      <c r="A82" s="9">
        <v>81</v>
      </c>
      <c r="B82" s="5" t="s">
        <v>307</v>
      </c>
      <c r="C82" s="5">
        <v>12</v>
      </c>
      <c r="D82" s="4" t="s">
        <v>308</v>
      </c>
      <c r="E82" s="4" t="s">
        <v>309</v>
      </c>
      <c r="F82" s="5" t="s">
        <v>27</v>
      </c>
      <c r="G82" s="5" t="s">
        <v>234</v>
      </c>
      <c r="H82" s="5" t="s">
        <v>235</v>
      </c>
      <c r="I82" s="5" t="s">
        <v>57</v>
      </c>
      <c r="J82" s="4" t="s">
        <v>236</v>
      </c>
      <c r="K82" s="4" t="s">
        <v>23</v>
      </c>
      <c r="L82" s="10"/>
      <c r="M82" s="26" t="str">
        <f>HYPERLINK("https://www.bible.com/fr/audio-bible/152/JOS.17.S21","▶ Écouter AT")</f>
        <v>▶ Écouter AT</v>
      </c>
      <c r="N82" s="22" t="str">
        <f>HYPERLINK("https://www.bible.com/fr/audio-bible/152/LUK.14.S21","▶ Écouter NT")</f>
        <v>▶ Écouter NT</v>
      </c>
      <c r="O82" s="27" t="str">
        <f>HYPERLINK("https://www.bible.com/fr/audio-bible/152/HEB.4.S21","▶ Écouter miroir")</f>
        <v>▶ Écouter miroir</v>
      </c>
    </row>
    <row r="83" spans="1:15">
      <c r="A83" s="9">
        <v>82</v>
      </c>
      <c r="B83" s="5" t="s">
        <v>310</v>
      </c>
      <c r="C83" s="5">
        <v>12</v>
      </c>
      <c r="D83" s="4" t="s">
        <v>311</v>
      </c>
      <c r="E83" s="4" t="s">
        <v>312</v>
      </c>
      <c r="F83" s="5" t="s">
        <v>27</v>
      </c>
      <c r="G83" s="5" t="s">
        <v>234</v>
      </c>
      <c r="H83" s="5" t="s">
        <v>235</v>
      </c>
      <c r="I83" s="5" t="s">
        <v>57</v>
      </c>
      <c r="J83" s="4" t="s">
        <v>236</v>
      </c>
      <c r="K83" s="4" t="s">
        <v>23</v>
      </c>
      <c r="L83" s="10"/>
      <c r="M83" s="26" t="str">
        <f>HYPERLINK("https://www.bible.com/fr/audio-bible/152/JOS.20.S21","▶ Écouter AT")</f>
        <v>▶ Écouter AT</v>
      </c>
      <c r="N83" s="22" t="str">
        <f>HYPERLINK("https://www.bible.com/fr/audio-bible/152/MAT.18.S21","▶ Écouter NT")</f>
        <v>▶ Écouter NT</v>
      </c>
      <c r="O83" s="27" t="str">
        <f>HYPERLINK("https://www.bible.com/fr/audio-bible/152/HEB.4.S21","▶ Écouter miroir")</f>
        <v>▶ Écouter miroir</v>
      </c>
    </row>
    <row r="84" spans="1:15">
      <c r="A84" s="9">
        <v>83</v>
      </c>
      <c r="B84" s="5" t="s">
        <v>313</v>
      </c>
      <c r="C84" s="5">
        <v>12</v>
      </c>
      <c r="D84" s="4" t="s">
        <v>314</v>
      </c>
      <c r="E84" s="4" t="s">
        <v>315</v>
      </c>
      <c r="F84" s="5" t="s">
        <v>27</v>
      </c>
      <c r="G84" s="5" t="s">
        <v>19</v>
      </c>
      <c r="H84" s="5" t="s">
        <v>34</v>
      </c>
      <c r="I84" s="5" t="s">
        <v>18</v>
      </c>
      <c r="J84" s="4" t="s">
        <v>35</v>
      </c>
      <c r="K84" s="4" t="s">
        <v>23</v>
      </c>
      <c r="L84" s="10"/>
      <c r="M84" s="26" t="str">
        <f>HYPERLINK("https://www.bible.com/fr/audio-bible/152/JOS.22.S21","▶ Écouter AT")</f>
        <v>▶ Écouter AT</v>
      </c>
      <c r="N84" s="22" t="str">
        <f>HYPERLINK("https://www.bible.com/fr/audio-bible/152/ROM.4.S21","▶ Écouter NT")</f>
        <v>▶ Écouter NT</v>
      </c>
      <c r="O84" s="27"/>
    </row>
    <row r="85" spans="1:15" ht="27.6">
      <c r="A85" s="9">
        <v>84</v>
      </c>
      <c r="B85" s="5" t="s">
        <v>316</v>
      </c>
      <c r="C85" s="5">
        <v>12</v>
      </c>
      <c r="D85" s="4" t="s">
        <v>317</v>
      </c>
      <c r="E85" s="4" t="s">
        <v>318</v>
      </c>
      <c r="F85" s="5" t="s">
        <v>27</v>
      </c>
      <c r="G85" s="5" t="s">
        <v>28</v>
      </c>
      <c r="H85" s="5" t="s">
        <v>29</v>
      </c>
      <c r="I85" s="5" t="s">
        <v>18</v>
      </c>
      <c r="J85" s="4" t="s">
        <v>30</v>
      </c>
      <c r="K85" s="4" t="s">
        <v>23</v>
      </c>
      <c r="L85" s="10"/>
      <c r="M85" s="26" t="str">
        <f>HYPERLINK("https://www.bible.com/fr/audio-bible/152/JDG.1.S21","▶ Écouter AT")</f>
        <v>▶ Écouter AT</v>
      </c>
      <c r="N85" s="22" t="str">
        <f>HYPERLINK("https://www.bible.com/fr/audio-bible/152/MRK.9.S21","▶ Écouter NT")</f>
        <v>▶ Écouter NT</v>
      </c>
      <c r="O85" s="27" t="str">
        <f>HYPERLINK("https://www.bible.com/fr/audio-bible/152/EPH.2.S21","▶ Écouter miroir")</f>
        <v>▶ Écouter miroir</v>
      </c>
    </row>
    <row r="86" spans="1:15" ht="27.6">
      <c r="A86" s="9">
        <v>85</v>
      </c>
      <c r="B86" s="5" t="s">
        <v>319</v>
      </c>
      <c r="C86" s="5">
        <v>13</v>
      </c>
      <c r="D86" s="4" t="s">
        <v>320</v>
      </c>
      <c r="E86" s="4" t="s">
        <v>321</v>
      </c>
      <c r="F86" s="5" t="s">
        <v>27</v>
      </c>
      <c r="G86" s="5" t="s">
        <v>28</v>
      </c>
      <c r="H86" s="5" t="s">
        <v>29</v>
      </c>
      <c r="I86" s="5" t="s">
        <v>18</v>
      </c>
      <c r="J86" s="4" t="s">
        <v>30</v>
      </c>
      <c r="K86" s="4" t="s">
        <v>23</v>
      </c>
      <c r="L86" s="10"/>
      <c r="M86" s="26" t="str">
        <f>HYPERLINK("https://www.bible.com/fr/audio-bible/152/JDG.3.S21","▶ Écouter AT")</f>
        <v>▶ Écouter AT</v>
      </c>
      <c r="N86" s="22" t="str">
        <f>HYPERLINK("https://www.bible.com/fr/audio-bible/152/MRK.10.S21","▶ Écouter NT")</f>
        <v>▶ Écouter NT</v>
      </c>
      <c r="O86" s="27" t="str">
        <f>HYPERLINK("https://www.bible.com/fr/audio-bible/152/EPH.2.S21","▶ Écouter miroir")</f>
        <v>▶ Écouter miroir</v>
      </c>
    </row>
    <row r="87" spans="1:15">
      <c r="A87" s="9">
        <v>86</v>
      </c>
      <c r="B87" s="5" t="s">
        <v>322</v>
      </c>
      <c r="C87" s="5">
        <v>13</v>
      </c>
      <c r="D87" s="4" t="s">
        <v>323</v>
      </c>
      <c r="E87" s="4" t="s">
        <v>253</v>
      </c>
      <c r="F87" s="5" t="s">
        <v>18</v>
      </c>
      <c r="G87" s="5" t="s">
        <v>19</v>
      </c>
      <c r="H87" s="5" t="s">
        <v>254</v>
      </c>
      <c r="I87" s="5" t="s">
        <v>57</v>
      </c>
      <c r="J87" s="4" t="s">
        <v>255</v>
      </c>
      <c r="K87" s="4" t="s">
        <v>23</v>
      </c>
      <c r="L87" s="10"/>
      <c r="M87" s="26" t="str">
        <f>HYPERLINK("https://www.bible.com/fr/audio-bible/152/JDG.6.S21","▶ Écouter AT")</f>
        <v>▶ Écouter AT</v>
      </c>
      <c r="N87" s="22" t="str">
        <f>HYPERLINK("https://www.bible.com/fr/audio-bible/152/LUK.1.S21","▶ Écouter NT")</f>
        <v>▶ Écouter NT</v>
      </c>
      <c r="O87" s="27"/>
    </row>
    <row r="88" spans="1:15">
      <c r="A88" s="9">
        <v>87</v>
      </c>
      <c r="B88" s="5" t="s">
        <v>324</v>
      </c>
      <c r="C88" s="5">
        <v>13</v>
      </c>
      <c r="D88" s="4" t="s">
        <v>325</v>
      </c>
      <c r="E88" s="4" t="s">
        <v>326</v>
      </c>
      <c r="F88" s="5" t="s">
        <v>27</v>
      </c>
      <c r="G88" s="5" t="s">
        <v>253</v>
      </c>
      <c r="H88" s="5" t="s">
        <v>254</v>
      </c>
      <c r="I88" s="5" t="s">
        <v>57</v>
      </c>
      <c r="J88" s="4" t="s">
        <v>255</v>
      </c>
      <c r="K88" s="4" t="s">
        <v>23</v>
      </c>
      <c r="L88" s="10"/>
      <c r="M88" s="26" t="str">
        <f>HYPERLINK("https://www.bible.com/fr/audio-bible/152/JDG.8.S21","▶ Écouter AT")</f>
        <v>▶ Écouter AT</v>
      </c>
      <c r="N88" s="22" t="str">
        <f>HYPERLINK("https://www.bible.com/fr/audio-bible/152/2CO.12.S21","▶ Écouter NT")</f>
        <v>▶ Écouter NT</v>
      </c>
      <c r="O88" s="27" t="str">
        <f>HYPERLINK("https://www.bible.com/fr/audio-bible/152/LUK.1.S21","▶ Écouter miroir")</f>
        <v>▶ Écouter miroir</v>
      </c>
    </row>
    <row r="89" spans="1:15" ht="27.6">
      <c r="A89" s="9">
        <v>88</v>
      </c>
      <c r="B89" s="5" t="s">
        <v>327</v>
      </c>
      <c r="C89" s="5">
        <v>13</v>
      </c>
      <c r="D89" s="4" t="s">
        <v>328</v>
      </c>
      <c r="E89" s="4" t="s">
        <v>329</v>
      </c>
      <c r="F89" s="5" t="s">
        <v>27</v>
      </c>
      <c r="G89" s="5" t="s">
        <v>28</v>
      </c>
      <c r="H89" s="5" t="s">
        <v>29</v>
      </c>
      <c r="I89" s="5" t="s">
        <v>18</v>
      </c>
      <c r="J89" s="4" t="s">
        <v>30</v>
      </c>
      <c r="K89" s="4" t="s">
        <v>23</v>
      </c>
      <c r="L89" s="10"/>
      <c r="M89" s="26" t="str">
        <f>HYPERLINK("https://www.bible.com/fr/audio-bible/152/JDG.11.S21","▶ Écouter AT")</f>
        <v>▶ Écouter AT</v>
      </c>
      <c r="N89" s="22" t="str">
        <f>HYPERLINK("https://www.bible.com/fr/audio-bible/152/2CO.11.S21","▶ Écouter NT")</f>
        <v>▶ Écouter NT</v>
      </c>
      <c r="O89" s="27" t="str">
        <f>HYPERLINK("https://www.bible.com/fr/audio-bible/152/EPH.2.S21","▶ Écouter miroir")</f>
        <v>▶ Écouter miroir</v>
      </c>
    </row>
    <row r="90" spans="1:15" ht="27.6">
      <c r="A90" s="9">
        <v>89</v>
      </c>
      <c r="B90" s="5" t="s">
        <v>330</v>
      </c>
      <c r="C90" s="5">
        <v>13</v>
      </c>
      <c r="D90" s="4" t="s">
        <v>331</v>
      </c>
      <c r="E90" s="4" t="s">
        <v>332</v>
      </c>
      <c r="F90" s="5" t="s">
        <v>27</v>
      </c>
      <c r="G90" s="5" t="s">
        <v>28</v>
      </c>
      <c r="H90" s="5" t="s">
        <v>29</v>
      </c>
      <c r="I90" s="5" t="s">
        <v>18</v>
      </c>
      <c r="J90" s="4" t="s">
        <v>30</v>
      </c>
      <c r="K90" s="4" t="s">
        <v>23</v>
      </c>
      <c r="L90" s="10"/>
      <c r="M90" s="26" t="str">
        <f>HYPERLINK("https://www.bible.com/fr/audio-bible/152/JDG.13.S21","▶ Écouter AT")</f>
        <v>▶ Écouter AT</v>
      </c>
      <c r="N90" s="22" t="str">
        <f>HYPERLINK("https://www.bible.com/fr/audio-bible/152/2CO.10.S21","▶ Écouter NT")</f>
        <v>▶ Écouter NT</v>
      </c>
      <c r="O90" s="27" t="str">
        <f>HYPERLINK("https://www.bible.com/fr/audio-bible/152/EPH.2.S21","▶ Écouter miroir")</f>
        <v>▶ Écouter miroir</v>
      </c>
    </row>
    <row r="91" spans="1:15">
      <c r="A91" s="9">
        <v>90</v>
      </c>
      <c r="B91" s="5" t="s">
        <v>333</v>
      </c>
      <c r="C91" s="5">
        <v>13</v>
      </c>
      <c r="D91" s="4" t="s">
        <v>334</v>
      </c>
      <c r="E91" s="4" t="s">
        <v>335</v>
      </c>
      <c r="F91" s="5" t="s">
        <v>27</v>
      </c>
      <c r="G91" s="5" t="s">
        <v>19</v>
      </c>
      <c r="H91" s="5" t="s">
        <v>254</v>
      </c>
      <c r="I91" s="5" t="s">
        <v>57</v>
      </c>
      <c r="J91" s="4" t="s">
        <v>255</v>
      </c>
      <c r="K91" s="4" t="s">
        <v>23</v>
      </c>
      <c r="L91" s="10"/>
      <c r="M91" s="26" t="str">
        <f>HYPERLINK("https://www.bible.com/fr/audio-bible/152/JDG.16.S21","▶ Écouter AT")</f>
        <v>▶ Écouter AT</v>
      </c>
      <c r="N91" s="22" t="str">
        <f>HYPERLINK("https://www.bible.com/fr/audio-bible/152/MRK.11.S21","▶ Écouter NT")</f>
        <v>▶ Écouter NT</v>
      </c>
      <c r="O91" s="27"/>
    </row>
    <row r="92" spans="1:15">
      <c r="A92" s="9">
        <v>91</v>
      </c>
      <c r="B92" s="5" t="s">
        <v>336</v>
      </c>
      <c r="C92" s="5">
        <v>13</v>
      </c>
      <c r="D92" s="4" t="s">
        <v>337</v>
      </c>
      <c r="E92" s="4" t="s">
        <v>338</v>
      </c>
      <c r="F92" s="5" t="s">
        <v>27</v>
      </c>
      <c r="G92" s="5" t="s">
        <v>19</v>
      </c>
      <c r="H92" s="5" t="s">
        <v>254</v>
      </c>
      <c r="I92" s="5" t="s">
        <v>57</v>
      </c>
      <c r="J92" s="4" t="s">
        <v>255</v>
      </c>
      <c r="K92" s="4" t="s">
        <v>23</v>
      </c>
      <c r="L92" s="10"/>
      <c r="M92" s="26" t="str">
        <f>HYPERLINK("https://www.bible.com/fr/audio-bible/152/JDG.19.S21","▶ Écouter AT")</f>
        <v>▶ Écouter AT</v>
      </c>
      <c r="N92" s="22" t="str">
        <f>HYPERLINK("https://www.bible.com/fr/audio-bible/152/MRK.12.S21","▶ Écouter NT")</f>
        <v>▶ Écouter NT</v>
      </c>
      <c r="O92" s="27"/>
    </row>
    <row r="93" spans="1:15">
      <c r="A93" s="9">
        <v>92</v>
      </c>
      <c r="B93" s="5" t="s">
        <v>339</v>
      </c>
      <c r="C93" s="5">
        <v>14</v>
      </c>
      <c r="D93" s="4" t="s">
        <v>340</v>
      </c>
      <c r="E93" s="4" t="s">
        <v>341</v>
      </c>
      <c r="F93" s="5" t="s">
        <v>27</v>
      </c>
      <c r="G93" s="5" t="s">
        <v>342</v>
      </c>
      <c r="H93" s="5" t="s">
        <v>211</v>
      </c>
      <c r="I93" s="5" t="s">
        <v>212</v>
      </c>
      <c r="J93" s="4" t="s">
        <v>213</v>
      </c>
      <c r="K93" s="4" t="s">
        <v>23</v>
      </c>
      <c r="L93" s="10"/>
      <c r="M93" s="26" t="str">
        <f>HYPERLINK("https://www.bible.com/fr/audio-bible/152/JDG.21.S21","▶ Écouter AT")</f>
        <v>▶ Écouter AT</v>
      </c>
      <c r="N93" s="22" t="str">
        <f>HYPERLINK("https://www.bible.com/fr/audio-bible/152/MRK.8.S21","▶ Écouter NT")</f>
        <v>▶ Écouter NT</v>
      </c>
      <c r="O93" s="27" t="str">
        <f>HYPERLINK("https://www.bible.com/fr/audio-bible/152/LUK.24.S21","▶ Écouter miroir")</f>
        <v>▶ Écouter miroir</v>
      </c>
    </row>
    <row r="94" spans="1:15">
      <c r="A94" s="9">
        <v>93</v>
      </c>
      <c r="B94" s="5" t="s">
        <v>343</v>
      </c>
      <c r="C94" s="5">
        <v>14</v>
      </c>
      <c r="D94" s="4" t="s">
        <v>344</v>
      </c>
      <c r="E94" s="4" t="s">
        <v>345</v>
      </c>
      <c r="F94" s="5" t="s">
        <v>27</v>
      </c>
      <c r="G94" s="5" t="s">
        <v>19</v>
      </c>
      <c r="H94" s="5" t="s">
        <v>211</v>
      </c>
      <c r="I94" s="5" t="s">
        <v>212</v>
      </c>
      <c r="J94" s="4" t="s">
        <v>213</v>
      </c>
      <c r="K94" s="4" t="s">
        <v>23</v>
      </c>
      <c r="L94" s="10"/>
      <c r="M94" s="26" t="str">
        <f>HYPERLINK("https://www.bible.com/fr/audio-bible/152/RUT.3.S21","▶ Écouter AT")</f>
        <v>▶ Écouter AT</v>
      </c>
      <c r="N94" s="22" t="str">
        <f>HYPERLINK("https://www.bible.com/fr/audio-bible/152/1JN.4.S21","▶ Écouter NT")</f>
        <v>▶ Écouter NT</v>
      </c>
      <c r="O94" s="27"/>
    </row>
    <row r="95" spans="1:15">
      <c r="A95" s="9">
        <v>94</v>
      </c>
      <c r="B95" s="5" t="s">
        <v>346</v>
      </c>
      <c r="C95" s="5">
        <v>14</v>
      </c>
      <c r="D95" s="4" t="s">
        <v>347</v>
      </c>
      <c r="E95" s="4" t="s">
        <v>348</v>
      </c>
      <c r="F95" s="5" t="s">
        <v>27</v>
      </c>
      <c r="G95" s="5" t="s">
        <v>165</v>
      </c>
      <c r="H95" s="5" t="s">
        <v>166</v>
      </c>
      <c r="I95" s="5" t="s">
        <v>89</v>
      </c>
      <c r="J95" s="4" t="s">
        <v>167</v>
      </c>
      <c r="K95" s="4" t="s">
        <v>23</v>
      </c>
      <c r="L95" s="10"/>
      <c r="M95" s="26" t="str">
        <f>HYPERLINK("https://www.bible.com/fr/audio-bible/152/1SA.1.S21","▶ Écouter AT")</f>
        <v>▶ Écouter AT</v>
      </c>
      <c r="N95" s="22" t="str">
        <f>HYPERLINK("https://www.bible.com/fr/audio-bible/152/2CO.7.S21","▶ Écouter NT")</f>
        <v>▶ Écouter NT</v>
      </c>
      <c r="O95" s="27" t="str">
        <f>HYPERLINK("https://www.bible.com/fr/audio-bible/152/1PE.1.S21","▶ Écouter miroir")</f>
        <v>▶ Écouter miroir</v>
      </c>
    </row>
    <row r="96" spans="1:15">
      <c r="A96" s="9">
        <v>95</v>
      </c>
      <c r="B96" s="5" t="s">
        <v>349</v>
      </c>
      <c r="C96" s="5">
        <v>14</v>
      </c>
      <c r="D96" s="4" t="s">
        <v>350</v>
      </c>
      <c r="E96" s="4" t="s">
        <v>351</v>
      </c>
      <c r="F96" s="5" t="s">
        <v>27</v>
      </c>
      <c r="G96" s="5" t="s">
        <v>165</v>
      </c>
      <c r="H96" s="5" t="s">
        <v>166</v>
      </c>
      <c r="I96" s="5" t="s">
        <v>89</v>
      </c>
      <c r="J96" s="4" t="s">
        <v>167</v>
      </c>
      <c r="K96" s="4" t="s">
        <v>23</v>
      </c>
      <c r="L96" s="10"/>
      <c r="M96" s="26" t="str">
        <f>HYPERLINK("https://www.bible.com/fr/audio-bible/152/1SA.4.S21","▶ Écouter AT")</f>
        <v>▶ Écouter AT</v>
      </c>
      <c r="N96" s="22" t="str">
        <f>HYPERLINK("https://www.bible.com/fr/audio-bible/152/2CO.6.S21","▶ Écouter NT")</f>
        <v>▶ Écouter NT</v>
      </c>
      <c r="O96" s="27" t="str">
        <f>HYPERLINK("https://www.bible.com/fr/audio-bible/152/1PE.1.S21","▶ Écouter miroir")</f>
        <v>▶ Écouter miroir</v>
      </c>
    </row>
    <row r="97" spans="1:15">
      <c r="A97" s="9">
        <v>96</v>
      </c>
      <c r="B97" s="5" t="s">
        <v>352</v>
      </c>
      <c r="C97" s="5">
        <v>14</v>
      </c>
      <c r="D97" s="4" t="s">
        <v>353</v>
      </c>
      <c r="E97" s="4" t="s">
        <v>354</v>
      </c>
      <c r="F97" s="5" t="s">
        <v>27</v>
      </c>
      <c r="G97" s="5" t="s">
        <v>19</v>
      </c>
      <c r="H97" s="5" t="s">
        <v>254</v>
      </c>
      <c r="I97" s="5" t="s">
        <v>57</v>
      </c>
      <c r="J97" s="4" t="s">
        <v>255</v>
      </c>
      <c r="K97" s="4" t="s">
        <v>23</v>
      </c>
      <c r="L97" s="10"/>
      <c r="M97" s="26" t="str">
        <f>HYPERLINK("https://www.bible.com/fr/audio-bible/152/1SA.6.S21","▶ Écouter AT")</f>
        <v>▶ Écouter AT</v>
      </c>
      <c r="N97" s="22" t="str">
        <f>HYPERLINK("https://www.bible.com/fr/audio-bible/152/MRK.13.S21","▶ Écouter NT")</f>
        <v>▶ Écouter NT</v>
      </c>
      <c r="O97" s="27"/>
    </row>
    <row r="98" spans="1:15">
      <c r="A98" s="9">
        <v>97</v>
      </c>
      <c r="B98" s="5" t="s">
        <v>355</v>
      </c>
      <c r="C98" s="5">
        <v>14</v>
      </c>
      <c r="D98" s="4" t="s">
        <v>356</v>
      </c>
      <c r="E98" s="4" t="s">
        <v>253</v>
      </c>
      <c r="F98" s="5" t="s">
        <v>18</v>
      </c>
      <c r="G98" s="5" t="s">
        <v>19</v>
      </c>
      <c r="H98" s="5" t="s">
        <v>254</v>
      </c>
      <c r="I98" s="5" t="s">
        <v>57</v>
      </c>
      <c r="J98" s="4" t="s">
        <v>255</v>
      </c>
      <c r="K98" s="4" t="s">
        <v>23</v>
      </c>
      <c r="L98" s="10"/>
      <c r="M98" s="26" t="str">
        <f>HYPERLINK("https://www.bible.com/fr/audio-bible/152/1SA.9.S21","▶ Écouter AT")</f>
        <v>▶ Écouter AT</v>
      </c>
      <c r="N98" s="22" t="str">
        <f>HYPERLINK("https://www.bible.com/fr/audio-bible/152/LUK.1.S21","▶ Écouter NT")</f>
        <v>▶ Écouter NT</v>
      </c>
      <c r="O98" s="27"/>
    </row>
    <row r="99" spans="1:15">
      <c r="A99" s="9">
        <v>98</v>
      </c>
      <c r="B99" s="5" t="s">
        <v>357</v>
      </c>
      <c r="C99" s="5">
        <v>14</v>
      </c>
      <c r="D99" s="4" t="s">
        <v>358</v>
      </c>
      <c r="E99" s="4" t="s">
        <v>253</v>
      </c>
      <c r="F99" s="5" t="s">
        <v>18</v>
      </c>
      <c r="G99" s="5" t="s">
        <v>19</v>
      </c>
      <c r="H99" s="5" t="s">
        <v>254</v>
      </c>
      <c r="I99" s="5" t="s">
        <v>57</v>
      </c>
      <c r="J99" s="4" t="s">
        <v>255</v>
      </c>
      <c r="K99" s="4" t="s">
        <v>23</v>
      </c>
      <c r="L99" s="10"/>
      <c r="M99" s="26" t="str">
        <f>HYPERLINK("https://www.bible.com/fr/audio-bible/152/1SA.11.S21","▶ Écouter AT")</f>
        <v>▶ Écouter AT</v>
      </c>
      <c r="N99" s="22" t="str">
        <f>HYPERLINK("https://www.bible.com/fr/audio-bible/152/LUK.1.S21","▶ Écouter NT")</f>
        <v>▶ Écouter NT</v>
      </c>
      <c r="O99" s="27"/>
    </row>
    <row r="100" spans="1:15">
      <c r="A100" s="9">
        <v>99</v>
      </c>
      <c r="B100" s="5" t="s">
        <v>359</v>
      </c>
      <c r="C100" s="5">
        <v>15</v>
      </c>
      <c r="D100" s="4" t="s">
        <v>360</v>
      </c>
      <c r="E100" s="4" t="s">
        <v>253</v>
      </c>
      <c r="F100" s="5" t="s">
        <v>18</v>
      </c>
      <c r="G100" s="5" t="s">
        <v>19</v>
      </c>
      <c r="H100" s="5" t="s">
        <v>254</v>
      </c>
      <c r="I100" s="5" t="s">
        <v>57</v>
      </c>
      <c r="J100" s="4" t="s">
        <v>255</v>
      </c>
      <c r="K100" s="4" t="s">
        <v>23</v>
      </c>
      <c r="L100" s="10"/>
      <c r="M100" s="26" t="str">
        <f>HYPERLINK("https://www.bible.com/fr/audio-bible/152/1SA.14.S21","▶ Écouter AT")</f>
        <v>▶ Écouter AT</v>
      </c>
      <c r="N100" s="22" t="str">
        <f>HYPERLINK("https://www.bible.com/fr/audio-bible/152/LUK.1.S21","▶ Écouter NT")</f>
        <v>▶ Écouter NT</v>
      </c>
      <c r="O100" s="27"/>
    </row>
    <row r="101" spans="1:15">
      <c r="A101" s="9">
        <v>100</v>
      </c>
      <c r="B101" s="5" t="s">
        <v>361</v>
      </c>
      <c r="C101" s="5">
        <v>15</v>
      </c>
      <c r="D101" s="4" t="s">
        <v>362</v>
      </c>
      <c r="E101" s="4" t="s">
        <v>363</v>
      </c>
      <c r="F101" s="5" t="s">
        <v>27</v>
      </c>
      <c r="G101" s="5" t="s">
        <v>19</v>
      </c>
      <c r="H101" s="5" t="s">
        <v>211</v>
      </c>
      <c r="I101" s="5" t="s">
        <v>212</v>
      </c>
      <c r="J101" s="4" t="s">
        <v>213</v>
      </c>
      <c r="K101" s="4" t="s">
        <v>23</v>
      </c>
      <c r="L101" s="10"/>
      <c r="M101" s="26" t="str">
        <f>HYPERLINK("https://www.bible.com/fr/audio-bible/152/1SA.16.S21","▶ Écouter AT")</f>
        <v>▶ Écouter AT</v>
      </c>
      <c r="N101" s="22" t="str">
        <f>HYPERLINK("https://www.bible.com/fr/audio-bible/152/LUK.3.S21","▶ Écouter NT")</f>
        <v>▶ Écouter NT</v>
      </c>
      <c r="O101" s="27"/>
    </row>
    <row r="102" spans="1:15">
      <c r="A102" s="9">
        <v>101</v>
      </c>
      <c r="B102" s="5" t="s">
        <v>364</v>
      </c>
      <c r="C102" s="5">
        <v>15</v>
      </c>
      <c r="D102" s="4" t="s">
        <v>365</v>
      </c>
      <c r="E102" s="4" t="s">
        <v>366</v>
      </c>
      <c r="F102" s="5" t="s">
        <v>27</v>
      </c>
      <c r="G102" s="5" t="s">
        <v>19</v>
      </c>
      <c r="H102" s="5" t="s">
        <v>211</v>
      </c>
      <c r="I102" s="5" t="s">
        <v>212</v>
      </c>
      <c r="J102" s="4" t="s">
        <v>213</v>
      </c>
      <c r="K102" s="4" t="s">
        <v>23</v>
      </c>
      <c r="L102" s="10"/>
      <c r="M102" s="26" t="str">
        <f>HYPERLINK("https://www.bible.com/fr/audio-bible/152/1SA.19.S21","▶ Écouter AT")</f>
        <v>▶ Écouter AT</v>
      </c>
      <c r="N102" s="22" t="str">
        <f>HYPERLINK("https://www.bible.com/fr/audio-bible/152/LUK.4.S21","▶ Écouter NT")</f>
        <v>▶ Écouter NT</v>
      </c>
      <c r="O102" s="27"/>
    </row>
    <row r="103" spans="1:15">
      <c r="A103" s="9">
        <v>102</v>
      </c>
      <c r="B103" s="5" t="s">
        <v>367</v>
      </c>
      <c r="C103" s="5">
        <v>15</v>
      </c>
      <c r="D103" s="4" t="s">
        <v>368</v>
      </c>
      <c r="E103" s="4" t="s">
        <v>369</v>
      </c>
      <c r="F103" s="5" t="s">
        <v>27</v>
      </c>
      <c r="G103" s="5" t="s">
        <v>253</v>
      </c>
      <c r="H103" s="5" t="s">
        <v>254</v>
      </c>
      <c r="I103" s="5" t="s">
        <v>57</v>
      </c>
      <c r="J103" s="4" t="s">
        <v>255</v>
      </c>
      <c r="K103" s="4" t="s">
        <v>23</v>
      </c>
      <c r="L103" s="10"/>
      <c r="M103" s="26" t="str">
        <f>HYPERLINK("https://www.bible.com/fr/audio-bible/152/1SA.22.S21","▶ Écouter AT")</f>
        <v>▶ Écouter AT</v>
      </c>
      <c r="N103" s="22" t="str">
        <f>HYPERLINK("https://www.bible.com/fr/audio-bible/152/MAT.12.S21","▶ Écouter NT")</f>
        <v>▶ Écouter NT</v>
      </c>
      <c r="O103" s="27" t="str">
        <f>HYPERLINK("https://www.bible.com/fr/audio-bible/152/LUK.1.S21","▶ Écouter miroir")</f>
        <v>▶ Écouter miroir</v>
      </c>
    </row>
    <row r="104" spans="1:15">
      <c r="A104" s="9">
        <v>103</v>
      </c>
      <c r="B104" s="5" t="s">
        <v>370</v>
      </c>
      <c r="C104" s="5">
        <v>15</v>
      </c>
      <c r="D104" s="4" t="s">
        <v>371</v>
      </c>
      <c r="E104" s="4" t="s">
        <v>372</v>
      </c>
      <c r="F104" s="5" t="s">
        <v>27</v>
      </c>
      <c r="G104" s="5" t="s">
        <v>253</v>
      </c>
      <c r="H104" s="5" t="s">
        <v>254</v>
      </c>
      <c r="I104" s="5" t="s">
        <v>57</v>
      </c>
      <c r="J104" s="4" t="s">
        <v>255</v>
      </c>
      <c r="K104" s="4" t="s">
        <v>23</v>
      </c>
      <c r="L104" s="10"/>
      <c r="M104" s="26" t="str">
        <f>HYPERLINK("https://www.bible.com/fr/audio-bible/152/1SA.24.S21","▶ Écouter AT")</f>
        <v>▶ Écouter AT</v>
      </c>
      <c r="N104" s="22" t="str">
        <f>HYPERLINK("https://www.bible.com/fr/audio-bible/152/MAT.10.S21","▶ Écouter NT")</f>
        <v>▶ Écouter NT</v>
      </c>
      <c r="O104" s="27" t="str">
        <f>HYPERLINK("https://www.bible.com/fr/audio-bible/152/LUK.1.S21","▶ Écouter miroir")</f>
        <v>▶ Écouter miroir</v>
      </c>
    </row>
    <row r="105" spans="1:15" ht="27.6">
      <c r="A105" s="9">
        <v>104</v>
      </c>
      <c r="B105" s="5" t="s">
        <v>373</v>
      </c>
      <c r="C105" s="5">
        <v>15</v>
      </c>
      <c r="D105" s="4" t="s">
        <v>374</v>
      </c>
      <c r="E105" s="4" t="s">
        <v>375</v>
      </c>
      <c r="F105" s="5" t="s">
        <v>27</v>
      </c>
      <c r="G105" s="5" t="s">
        <v>19</v>
      </c>
      <c r="H105" s="5" t="s">
        <v>79</v>
      </c>
      <c r="I105" s="5" t="s">
        <v>18</v>
      </c>
      <c r="J105" s="4" t="s">
        <v>80</v>
      </c>
      <c r="K105" s="4" t="s">
        <v>23</v>
      </c>
      <c r="L105" s="10"/>
      <c r="M105" s="26" t="str">
        <f>HYPERLINK("https://www.bible.com/fr/audio-bible/152/1SA.27.S21","▶ Écouter AT")</f>
        <v>▶ Écouter AT</v>
      </c>
      <c r="N105" s="22" t="str">
        <f>HYPERLINK("https://www.bible.com/fr/audio-bible/152/1TH.2.S21","▶ Écouter NT")</f>
        <v>▶ Écouter NT</v>
      </c>
      <c r="O105" s="27"/>
    </row>
    <row r="106" spans="1:15" ht="27.6">
      <c r="A106" s="9">
        <v>105</v>
      </c>
      <c r="B106" s="5" t="s">
        <v>376</v>
      </c>
      <c r="C106" s="5">
        <v>15</v>
      </c>
      <c r="D106" s="4" t="s">
        <v>377</v>
      </c>
      <c r="E106" s="4" t="s">
        <v>378</v>
      </c>
      <c r="F106" s="5" t="s">
        <v>27</v>
      </c>
      <c r="G106" s="5" t="s">
        <v>19</v>
      </c>
      <c r="H106" s="5" t="s">
        <v>79</v>
      </c>
      <c r="I106" s="5" t="s">
        <v>18</v>
      </c>
      <c r="J106" s="4" t="s">
        <v>80</v>
      </c>
      <c r="K106" s="4" t="s">
        <v>23</v>
      </c>
      <c r="L106" s="10"/>
      <c r="M106" s="26" t="str">
        <f>HYPERLINK("https://www.bible.com/fr/audio-bible/152/1SA.29.S21","▶ Écouter AT")</f>
        <v>▶ Écouter AT</v>
      </c>
      <c r="N106" s="22" t="str">
        <f>HYPERLINK("https://www.bible.com/fr/audio-bible/152/1TH.1.S21","▶ Écouter NT")</f>
        <v>▶ Écouter NT</v>
      </c>
      <c r="O106" s="27"/>
    </row>
    <row r="107" spans="1:15">
      <c r="A107" s="9">
        <v>106</v>
      </c>
      <c r="B107" s="5" t="s">
        <v>379</v>
      </c>
      <c r="C107" s="5">
        <v>16</v>
      </c>
      <c r="D107" s="4" t="s">
        <v>380</v>
      </c>
      <c r="E107" s="4" t="s">
        <v>381</v>
      </c>
      <c r="F107" s="5" t="s">
        <v>27</v>
      </c>
      <c r="G107" s="5" t="s">
        <v>19</v>
      </c>
      <c r="H107" s="5" t="s">
        <v>211</v>
      </c>
      <c r="I107" s="5" t="s">
        <v>212</v>
      </c>
      <c r="J107" s="4" t="s">
        <v>213</v>
      </c>
      <c r="K107" s="4" t="s">
        <v>23</v>
      </c>
      <c r="L107" s="10"/>
      <c r="M107" s="26" t="str">
        <f>HYPERLINK("https://www.bible.com/fr/audio-bible/152/2SA.1.S21","▶ Écouter AT")</f>
        <v>▶ Écouter AT</v>
      </c>
      <c r="N107" s="22" t="str">
        <f>HYPERLINK("https://www.bible.com/fr/audio-bible/152/MAT.2.S21","▶ Écouter NT")</f>
        <v>▶ Écouter NT</v>
      </c>
      <c r="O107" s="27"/>
    </row>
    <row r="108" spans="1:15">
      <c r="A108" s="9">
        <v>107</v>
      </c>
      <c r="B108" s="5" t="s">
        <v>382</v>
      </c>
      <c r="C108" s="5">
        <v>16</v>
      </c>
      <c r="D108" s="4" t="s">
        <v>383</v>
      </c>
      <c r="E108" s="4" t="s">
        <v>384</v>
      </c>
      <c r="F108" s="5" t="s">
        <v>27</v>
      </c>
      <c r="G108" s="5" t="s">
        <v>19</v>
      </c>
      <c r="H108" s="5" t="s">
        <v>211</v>
      </c>
      <c r="I108" s="5" t="s">
        <v>212</v>
      </c>
      <c r="J108" s="4" t="s">
        <v>213</v>
      </c>
      <c r="K108" s="4" t="s">
        <v>23</v>
      </c>
      <c r="L108" s="10"/>
      <c r="M108" s="26" t="str">
        <f>HYPERLINK("https://www.bible.com/fr/audio-bible/152/2SA.3.S21","▶ Écouter AT")</f>
        <v>▶ Écouter AT</v>
      </c>
      <c r="N108" s="22" t="str">
        <f>HYPERLINK("https://www.bible.com/fr/audio-bible/152/LUK.1.S21","▶ Écouter NT")</f>
        <v>▶ Écouter NT</v>
      </c>
      <c r="O108" s="27"/>
    </row>
    <row r="109" spans="1:15">
      <c r="A109" s="9">
        <v>108</v>
      </c>
      <c r="B109" s="5" t="s">
        <v>385</v>
      </c>
      <c r="C109" s="5">
        <v>16</v>
      </c>
      <c r="D109" s="4" t="s">
        <v>386</v>
      </c>
      <c r="E109" s="4" t="s">
        <v>387</v>
      </c>
      <c r="F109" s="5" t="s">
        <v>27</v>
      </c>
      <c r="G109" s="5" t="s">
        <v>19</v>
      </c>
      <c r="H109" s="5" t="s">
        <v>211</v>
      </c>
      <c r="I109" s="5" t="s">
        <v>212</v>
      </c>
      <c r="J109" s="4" t="s">
        <v>213</v>
      </c>
      <c r="K109" s="4" t="s">
        <v>23</v>
      </c>
      <c r="L109" s="10"/>
      <c r="M109" s="26" t="str">
        <f>HYPERLINK("https://www.bible.com/fr/audio-bible/152/2SA.6.S21","▶ Écouter AT")</f>
        <v>▶ Écouter AT</v>
      </c>
      <c r="N109" s="22" t="str">
        <f>HYPERLINK("https://www.bible.com/fr/audio-bible/152/LUK.2.S21","▶ Écouter NT")</f>
        <v>▶ Écouter NT</v>
      </c>
      <c r="O109" s="27"/>
    </row>
    <row r="110" spans="1:15">
      <c r="A110" s="9">
        <v>109</v>
      </c>
      <c r="B110" s="5" t="s">
        <v>388</v>
      </c>
      <c r="C110" s="5">
        <v>16</v>
      </c>
      <c r="D110" s="4" t="s">
        <v>389</v>
      </c>
      <c r="E110" s="4" t="s">
        <v>390</v>
      </c>
      <c r="F110" s="5" t="s">
        <v>27</v>
      </c>
      <c r="G110" s="5" t="s">
        <v>253</v>
      </c>
      <c r="H110" s="5" t="s">
        <v>254</v>
      </c>
      <c r="I110" s="5" t="s">
        <v>57</v>
      </c>
      <c r="J110" s="4" t="s">
        <v>255</v>
      </c>
      <c r="K110" s="4" t="s">
        <v>23</v>
      </c>
      <c r="L110" s="10"/>
      <c r="M110" s="26" t="str">
        <f>HYPERLINK("https://www.bible.com/fr/audio-bible/152/2SA.8.S21","▶ Écouter AT")</f>
        <v>▶ Écouter AT</v>
      </c>
      <c r="N110" s="22" t="str">
        <f>HYPERLINK("https://www.bible.com/fr/audio-bible/152/2CO.8.S21","▶ Écouter NT")</f>
        <v>▶ Écouter NT</v>
      </c>
      <c r="O110" s="27" t="str">
        <f>HYPERLINK("https://www.bible.com/fr/audio-bible/152/LUK.1.S21","▶ Écouter miroir")</f>
        <v>▶ Écouter miroir</v>
      </c>
    </row>
    <row r="111" spans="1:15">
      <c r="A111" s="9">
        <v>110</v>
      </c>
      <c r="B111" s="5" t="s">
        <v>391</v>
      </c>
      <c r="C111" s="5">
        <v>16</v>
      </c>
      <c r="D111" s="4" t="s">
        <v>392</v>
      </c>
      <c r="E111" s="4" t="s">
        <v>393</v>
      </c>
      <c r="F111" s="5" t="s">
        <v>27</v>
      </c>
      <c r="G111" s="5" t="s">
        <v>253</v>
      </c>
      <c r="H111" s="5" t="s">
        <v>254</v>
      </c>
      <c r="I111" s="5" t="s">
        <v>57</v>
      </c>
      <c r="J111" s="4" t="s">
        <v>255</v>
      </c>
      <c r="K111" s="4" t="s">
        <v>23</v>
      </c>
      <c r="L111" s="10"/>
      <c r="M111" s="26" t="str">
        <f>HYPERLINK("https://www.bible.com/fr/audio-bible/152/2SA.11.S21","▶ Écouter AT")</f>
        <v>▶ Écouter AT</v>
      </c>
      <c r="N111" s="22" t="str">
        <f>HYPERLINK("https://www.bible.com/fr/audio-bible/152/ROM.7.S21","▶ Écouter NT")</f>
        <v>▶ Écouter NT</v>
      </c>
      <c r="O111" s="27" t="str">
        <f>HYPERLINK("https://www.bible.com/fr/audio-bible/152/LUK.1.S21","▶ Écouter miroir")</f>
        <v>▶ Écouter miroir</v>
      </c>
    </row>
    <row r="112" spans="1:15" ht="27.6">
      <c r="A112" s="9">
        <v>111</v>
      </c>
      <c r="B112" s="5" t="s">
        <v>394</v>
      </c>
      <c r="C112" s="5">
        <v>16</v>
      </c>
      <c r="D112" s="4" t="s">
        <v>395</v>
      </c>
      <c r="E112" s="4" t="s">
        <v>396</v>
      </c>
      <c r="F112" s="5" t="s">
        <v>27</v>
      </c>
      <c r="G112" s="5" t="s">
        <v>19</v>
      </c>
      <c r="H112" s="5" t="s">
        <v>79</v>
      </c>
      <c r="I112" s="5" t="s">
        <v>18</v>
      </c>
      <c r="J112" s="4" t="s">
        <v>80</v>
      </c>
      <c r="K112" s="4" t="s">
        <v>23</v>
      </c>
      <c r="L112" s="10"/>
      <c r="M112" s="26" t="str">
        <f>HYPERLINK("https://www.bible.com/fr/audio-bible/152/2SA.13.S21","▶ Écouter AT")</f>
        <v>▶ Écouter AT</v>
      </c>
      <c r="N112" s="22" t="str">
        <f>HYPERLINK("https://www.bible.com/fr/audio-bible/152/1PE.4.S21","▶ Écouter NT")</f>
        <v>▶ Écouter NT</v>
      </c>
      <c r="O112" s="27"/>
    </row>
    <row r="113" spans="1:15">
      <c r="A113" s="9">
        <v>112</v>
      </c>
      <c r="B113" s="5" t="s">
        <v>397</v>
      </c>
      <c r="C113" s="5">
        <v>16</v>
      </c>
      <c r="D113" s="4" t="s">
        <v>398</v>
      </c>
      <c r="E113" s="4" t="s">
        <v>399</v>
      </c>
      <c r="F113" s="5" t="s">
        <v>27</v>
      </c>
      <c r="G113" s="5" t="s">
        <v>253</v>
      </c>
      <c r="H113" s="5" t="s">
        <v>254</v>
      </c>
      <c r="I113" s="5" t="s">
        <v>57</v>
      </c>
      <c r="J113" s="4" t="s">
        <v>255</v>
      </c>
      <c r="K113" s="4" t="s">
        <v>23</v>
      </c>
      <c r="L113" s="10"/>
      <c r="M113" s="26" t="str">
        <f>HYPERLINK("https://www.bible.com/fr/audio-bible/152/2SA.16.S21","▶ Écouter AT")</f>
        <v>▶ Écouter AT</v>
      </c>
      <c r="N113" s="22" t="str">
        <f>HYPERLINK("https://www.bible.com/fr/audio-bible/152/ACT.7.S21","▶ Écouter NT")</f>
        <v>▶ Écouter NT</v>
      </c>
      <c r="O113" s="27" t="str">
        <f>HYPERLINK("https://www.bible.com/fr/audio-bible/152/LUK.1.S21","▶ Écouter miroir")</f>
        <v>▶ Écouter miroir</v>
      </c>
    </row>
    <row r="114" spans="1:15">
      <c r="A114" s="9">
        <v>113</v>
      </c>
      <c r="B114" s="5" t="s">
        <v>400</v>
      </c>
      <c r="C114" s="5">
        <v>17</v>
      </c>
      <c r="D114" s="4" t="s">
        <v>401</v>
      </c>
      <c r="E114" s="4" t="s">
        <v>402</v>
      </c>
      <c r="F114" s="5" t="s">
        <v>27</v>
      </c>
      <c r="G114" s="5" t="s">
        <v>253</v>
      </c>
      <c r="H114" s="5" t="s">
        <v>254</v>
      </c>
      <c r="I114" s="5" t="s">
        <v>57</v>
      </c>
      <c r="J114" s="4" t="s">
        <v>255</v>
      </c>
      <c r="K114" s="4" t="s">
        <v>23</v>
      </c>
      <c r="L114" s="10"/>
      <c r="M114" s="26" t="str">
        <f>HYPERLINK("https://www.bible.com/fr/audio-bible/152/2SA.19.S21","▶ Écouter AT")</f>
        <v>▶ Écouter AT</v>
      </c>
      <c r="N114" s="22" t="str">
        <f>HYPERLINK("https://www.bible.com/fr/audio-bible/152/ACT.6.S21","▶ Écouter NT")</f>
        <v>▶ Écouter NT</v>
      </c>
      <c r="O114" s="27" t="str">
        <f>HYPERLINK("https://www.bible.com/fr/audio-bible/152/LUK.1.S21","▶ Écouter miroir")</f>
        <v>▶ Écouter miroir</v>
      </c>
    </row>
    <row r="115" spans="1:15" ht="27.6">
      <c r="A115" s="9">
        <v>114</v>
      </c>
      <c r="B115" s="5" t="s">
        <v>403</v>
      </c>
      <c r="C115" s="5">
        <v>17</v>
      </c>
      <c r="D115" s="4" t="s">
        <v>404</v>
      </c>
      <c r="E115" s="4" t="s">
        <v>405</v>
      </c>
      <c r="F115" s="5" t="s">
        <v>27</v>
      </c>
      <c r="G115" s="5" t="s">
        <v>55</v>
      </c>
      <c r="H115" s="5" t="s">
        <v>56</v>
      </c>
      <c r="I115" s="5" t="s">
        <v>57</v>
      </c>
      <c r="J115" s="4" t="s">
        <v>58</v>
      </c>
      <c r="K115" s="4" t="s">
        <v>23</v>
      </c>
      <c r="L115" s="10"/>
      <c r="M115" s="26" t="str">
        <f>HYPERLINK("https://www.bible.com/fr/audio-bible/152/2SA.21.S21","▶ Écouter AT")</f>
        <v>▶ Écouter AT</v>
      </c>
      <c r="N115" s="22" t="str">
        <f>HYPERLINK("https://www.bible.com/fr/audio-bible/152/LUK.22.S21","▶ Écouter NT")</f>
        <v>▶ Écouter NT</v>
      </c>
      <c r="O115" s="27" t="str">
        <f>HYPERLINK("https://www.bible.com/fr/audio-bible/152/HEB.10.S21","▶ Écouter miroir")</f>
        <v>▶ Écouter miroir</v>
      </c>
    </row>
    <row r="116" spans="1:15" ht="27.6">
      <c r="A116" s="9">
        <v>115</v>
      </c>
      <c r="B116" s="5" t="s">
        <v>406</v>
      </c>
      <c r="C116" s="5">
        <v>17</v>
      </c>
      <c r="D116" s="4" t="s">
        <v>407</v>
      </c>
      <c r="E116" s="4" t="s">
        <v>408</v>
      </c>
      <c r="F116" s="5" t="s">
        <v>27</v>
      </c>
      <c r="G116" s="5" t="s">
        <v>19</v>
      </c>
      <c r="H116" s="5" t="s">
        <v>56</v>
      </c>
      <c r="I116" s="5" t="s">
        <v>57</v>
      </c>
      <c r="J116" s="4" t="s">
        <v>58</v>
      </c>
      <c r="K116" s="4" t="s">
        <v>23</v>
      </c>
      <c r="L116" s="10"/>
      <c r="M116" s="26" t="str">
        <f>HYPERLINK("https://www.bible.com/fr/audio-bible/152/2SA.24.S21","▶ Écouter AT")</f>
        <v>▶ Écouter AT</v>
      </c>
      <c r="N116" s="22" t="str">
        <f>HYPERLINK("https://www.bible.com/fr/audio-bible/152/MRK.15.S21","▶ Écouter NT")</f>
        <v>▶ Écouter NT</v>
      </c>
      <c r="O116" s="27"/>
    </row>
    <row r="117" spans="1:15">
      <c r="A117" s="9">
        <v>116</v>
      </c>
      <c r="B117" s="5" t="s">
        <v>409</v>
      </c>
      <c r="C117" s="5">
        <v>17</v>
      </c>
      <c r="D117" s="4" t="s">
        <v>410</v>
      </c>
      <c r="E117" s="4" t="s">
        <v>253</v>
      </c>
      <c r="F117" s="5" t="s">
        <v>18</v>
      </c>
      <c r="G117" s="5" t="s">
        <v>19</v>
      </c>
      <c r="H117" s="5" t="s">
        <v>254</v>
      </c>
      <c r="I117" s="5" t="s">
        <v>57</v>
      </c>
      <c r="J117" s="4" t="s">
        <v>255</v>
      </c>
      <c r="K117" s="4" t="s">
        <v>23</v>
      </c>
      <c r="L117" s="10"/>
      <c r="M117" s="26" t="str">
        <f>HYPERLINK("https://www.bible.com/fr/audio-bible/152/1KI.2.S21","▶ Écouter AT")</f>
        <v>▶ Écouter AT</v>
      </c>
      <c r="N117" s="22" t="str">
        <f>HYPERLINK("https://www.bible.com/fr/audio-bible/152/LUK.1.S21","▶ Écouter NT")</f>
        <v>▶ Écouter NT</v>
      </c>
      <c r="O117" s="27"/>
    </row>
    <row r="118" spans="1:15" ht="27.6">
      <c r="A118" s="9">
        <v>117</v>
      </c>
      <c r="B118" s="5" t="s">
        <v>411</v>
      </c>
      <c r="C118" s="5">
        <v>17</v>
      </c>
      <c r="D118" s="4" t="s">
        <v>412</v>
      </c>
      <c r="E118" s="4" t="s">
        <v>413</v>
      </c>
      <c r="F118" s="5" t="s">
        <v>27</v>
      </c>
      <c r="G118" s="5" t="s">
        <v>19</v>
      </c>
      <c r="H118" s="5" t="s">
        <v>414</v>
      </c>
      <c r="I118" s="5" t="s">
        <v>57</v>
      </c>
      <c r="J118" s="4" t="s">
        <v>415</v>
      </c>
      <c r="K118" s="4" t="s">
        <v>23</v>
      </c>
      <c r="L118" s="10"/>
      <c r="M118" s="26" t="str">
        <f>HYPERLINK("https://www.bible.com/fr/audio-bible/152/1KI.5.S21","▶ Écouter AT")</f>
        <v>▶ Écouter AT</v>
      </c>
      <c r="N118" s="22" t="str">
        <f>HYPERLINK("https://www.bible.com/fr/audio-bible/152/JHN.2.S21","▶ Écouter NT")</f>
        <v>▶ Écouter NT</v>
      </c>
      <c r="O118" s="27"/>
    </row>
    <row r="119" spans="1:15" ht="27.6">
      <c r="A119" s="9">
        <v>118</v>
      </c>
      <c r="B119" s="5" t="s">
        <v>416</v>
      </c>
      <c r="C119" s="5">
        <v>17</v>
      </c>
      <c r="D119" s="4" t="s">
        <v>417</v>
      </c>
      <c r="E119" s="4" t="s">
        <v>418</v>
      </c>
      <c r="F119" s="5" t="s">
        <v>27</v>
      </c>
      <c r="G119" s="5" t="s">
        <v>19</v>
      </c>
      <c r="H119" s="5" t="s">
        <v>414</v>
      </c>
      <c r="I119" s="5" t="s">
        <v>57</v>
      </c>
      <c r="J119" s="4" t="s">
        <v>415</v>
      </c>
      <c r="K119" s="4" t="s">
        <v>23</v>
      </c>
      <c r="L119" s="10"/>
      <c r="M119" s="26" t="str">
        <f>HYPERLINK("https://www.bible.com/fr/audio-bible/152/1KI.7.S21","▶ Écouter AT")</f>
        <v>▶ Écouter AT</v>
      </c>
      <c r="N119" s="22" t="str">
        <f>HYPERLINK("https://www.bible.com/fr/audio-bible/152/LUK.19.S21","▶ Écouter NT")</f>
        <v>▶ Écouter NT</v>
      </c>
      <c r="O119" s="27"/>
    </row>
    <row r="120" spans="1:15">
      <c r="A120" s="9">
        <v>119</v>
      </c>
      <c r="B120" s="5" t="s">
        <v>419</v>
      </c>
      <c r="C120" s="5">
        <v>17</v>
      </c>
      <c r="D120" s="4" t="s">
        <v>420</v>
      </c>
      <c r="E120" s="4" t="s">
        <v>33</v>
      </c>
      <c r="F120" s="5" t="s">
        <v>18</v>
      </c>
      <c r="G120" s="5" t="s">
        <v>19</v>
      </c>
      <c r="H120" s="5" t="s">
        <v>34</v>
      </c>
      <c r="I120" s="5" t="s">
        <v>18</v>
      </c>
      <c r="J120" s="4" t="s">
        <v>35</v>
      </c>
      <c r="K120" s="4" t="s">
        <v>23</v>
      </c>
      <c r="L120" s="10"/>
      <c r="M120" s="26" t="str">
        <f>HYPERLINK("https://www.bible.com/fr/audio-bible/152/1KI.10.S21","▶ Écouter AT")</f>
        <v>▶ Écouter AT</v>
      </c>
      <c r="N120" s="22" t="str">
        <f>HYPERLINK("https://www.bible.com/fr/audio-bible/152/HEB.8.S21","▶ Écouter NT")</f>
        <v>▶ Écouter NT</v>
      </c>
      <c r="O120" s="27"/>
    </row>
    <row r="121" spans="1:15" ht="27.6">
      <c r="A121" s="9">
        <v>120</v>
      </c>
      <c r="B121" s="5" t="s">
        <v>421</v>
      </c>
      <c r="C121" s="5">
        <v>18</v>
      </c>
      <c r="D121" s="4" t="s">
        <v>422</v>
      </c>
      <c r="E121" s="4" t="s">
        <v>423</v>
      </c>
      <c r="F121" s="5" t="s">
        <v>18</v>
      </c>
      <c r="G121" s="5" t="s">
        <v>19</v>
      </c>
      <c r="H121" s="5" t="s">
        <v>424</v>
      </c>
      <c r="I121" s="5" t="s">
        <v>122</v>
      </c>
      <c r="J121" s="4" t="s">
        <v>425</v>
      </c>
      <c r="K121" s="4" t="s">
        <v>23</v>
      </c>
      <c r="L121" s="10"/>
      <c r="M121" s="26" t="str">
        <f>HYPERLINK("https://www.bible.com/fr/audio-bible/152/1KI.12.S21","▶ Écouter AT")</f>
        <v>▶ Écouter AT</v>
      </c>
      <c r="N121" s="22" t="str">
        <f>HYPERLINK("https://www.bible.com/fr/audio-bible/152/2PE.3.S21","▶ Écouter NT")</f>
        <v>▶ Écouter NT</v>
      </c>
      <c r="O121" s="27"/>
    </row>
    <row r="122" spans="1:15" ht="27.6">
      <c r="A122" s="9">
        <v>121</v>
      </c>
      <c r="B122" s="5" t="s">
        <v>426</v>
      </c>
      <c r="C122" s="5">
        <v>18</v>
      </c>
      <c r="D122" s="4" t="s">
        <v>427</v>
      </c>
      <c r="E122" s="4" t="s">
        <v>423</v>
      </c>
      <c r="F122" s="5" t="s">
        <v>18</v>
      </c>
      <c r="G122" s="5" t="s">
        <v>19</v>
      </c>
      <c r="H122" s="5" t="s">
        <v>424</v>
      </c>
      <c r="I122" s="5" t="s">
        <v>122</v>
      </c>
      <c r="J122" s="4" t="s">
        <v>425</v>
      </c>
      <c r="K122" s="4" t="s">
        <v>23</v>
      </c>
      <c r="L122" s="10"/>
      <c r="M122" s="26" t="str">
        <f>HYPERLINK("https://www.bible.com/fr/audio-bible/152/1KI.15.S21","▶ Écouter AT")</f>
        <v>▶ Écouter AT</v>
      </c>
      <c r="N122" s="22" t="str">
        <f>HYPERLINK("https://www.bible.com/fr/audio-bible/152/2PE.3.S21","▶ Écouter NT")</f>
        <v>▶ Écouter NT</v>
      </c>
      <c r="O122" s="27"/>
    </row>
    <row r="123" spans="1:15" ht="27.6">
      <c r="A123" s="9">
        <v>122</v>
      </c>
      <c r="B123" s="5" t="s">
        <v>428</v>
      </c>
      <c r="C123" s="5">
        <v>18</v>
      </c>
      <c r="D123" s="4" t="s">
        <v>429</v>
      </c>
      <c r="E123" s="4" t="s">
        <v>295</v>
      </c>
      <c r="F123" s="5" t="s">
        <v>18</v>
      </c>
      <c r="G123" s="5" t="s">
        <v>19</v>
      </c>
      <c r="H123" s="5" t="s">
        <v>296</v>
      </c>
      <c r="I123" s="5" t="s">
        <v>18</v>
      </c>
      <c r="J123" s="4" t="s">
        <v>297</v>
      </c>
      <c r="K123" s="4" t="s">
        <v>23</v>
      </c>
      <c r="L123" s="10"/>
      <c r="M123" s="26" t="str">
        <f>HYPERLINK("https://www.bible.com/fr/audio-bible/152/1KI.17.S21","▶ Écouter AT")</f>
        <v>▶ Écouter AT</v>
      </c>
      <c r="N123" s="22" t="str">
        <f>HYPERLINK("https://www.bible.com/fr/audio-bible/152/HEB.11.S21","▶ Écouter NT")</f>
        <v>▶ Écouter NT</v>
      </c>
      <c r="O123" s="27"/>
    </row>
    <row r="124" spans="1:15">
      <c r="A124" s="9">
        <v>123</v>
      </c>
      <c r="B124" s="5" t="s">
        <v>430</v>
      </c>
      <c r="C124" s="5">
        <v>18</v>
      </c>
      <c r="D124" s="4" t="s">
        <v>431</v>
      </c>
      <c r="E124" s="4" t="s">
        <v>432</v>
      </c>
      <c r="F124" s="5" t="s">
        <v>27</v>
      </c>
      <c r="G124" s="5" t="s">
        <v>253</v>
      </c>
      <c r="H124" s="5" t="s">
        <v>254</v>
      </c>
      <c r="I124" s="5" t="s">
        <v>57</v>
      </c>
      <c r="J124" s="4" t="s">
        <v>255</v>
      </c>
      <c r="K124" s="4" t="s">
        <v>23</v>
      </c>
      <c r="L124" s="10"/>
      <c r="M124" s="26" t="str">
        <f>HYPERLINK("https://www.bible.com/fr/audio-bible/152/1KI.20.S21","▶ Écouter AT")</f>
        <v>▶ Écouter AT</v>
      </c>
      <c r="N124" s="22" t="str">
        <f>HYPERLINK("https://www.bible.com/fr/audio-bible/152/2TH.2.S21","▶ Écouter NT")</f>
        <v>▶ Écouter NT</v>
      </c>
      <c r="O124" s="27" t="str">
        <f>HYPERLINK("https://www.bible.com/fr/audio-bible/152/LUK.1.S21","▶ Écouter miroir")</f>
        <v>▶ Écouter miroir</v>
      </c>
    </row>
    <row r="125" spans="1:15" ht="27.6">
      <c r="A125" s="9">
        <v>124</v>
      </c>
      <c r="B125" s="5" t="s">
        <v>433</v>
      </c>
      <c r="C125" s="5">
        <v>18</v>
      </c>
      <c r="D125" s="4" t="s">
        <v>434</v>
      </c>
      <c r="E125" s="4" t="s">
        <v>435</v>
      </c>
      <c r="F125" s="5" t="s">
        <v>27</v>
      </c>
      <c r="G125" s="5" t="s">
        <v>19</v>
      </c>
      <c r="H125" s="5" t="s">
        <v>29</v>
      </c>
      <c r="I125" s="5" t="s">
        <v>18</v>
      </c>
      <c r="J125" s="4" t="s">
        <v>30</v>
      </c>
      <c r="K125" s="4" t="s">
        <v>23</v>
      </c>
      <c r="L125" s="10"/>
      <c r="M125" s="26" t="str">
        <f>HYPERLINK("https://www.bible.com/fr/audio-bible/152/2KI.1.S21","▶ Écouter AT")</f>
        <v>▶ Écouter AT</v>
      </c>
      <c r="N125" s="22" t="str">
        <f>HYPERLINK("https://www.bible.com/fr/audio-bible/152/MAT.8.S21","▶ Écouter NT")</f>
        <v>▶ Écouter NT</v>
      </c>
      <c r="O125" s="27"/>
    </row>
    <row r="126" spans="1:15" ht="27.6">
      <c r="A126" s="9">
        <v>125</v>
      </c>
      <c r="B126" s="5" t="s">
        <v>436</v>
      </c>
      <c r="C126" s="5">
        <v>18</v>
      </c>
      <c r="D126" s="4" t="s">
        <v>437</v>
      </c>
      <c r="E126" s="4" t="s">
        <v>438</v>
      </c>
      <c r="F126" s="5" t="s">
        <v>27</v>
      </c>
      <c r="G126" s="5" t="s">
        <v>19</v>
      </c>
      <c r="H126" s="5" t="s">
        <v>29</v>
      </c>
      <c r="I126" s="5" t="s">
        <v>18</v>
      </c>
      <c r="J126" s="4" t="s">
        <v>30</v>
      </c>
      <c r="K126" s="4" t="s">
        <v>23</v>
      </c>
      <c r="L126" s="10"/>
      <c r="M126" s="26" t="str">
        <f>HYPERLINK("https://www.bible.com/fr/audio-bible/152/2KI.3.S21","▶ Écouter AT")</f>
        <v>▶ Écouter AT</v>
      </c>
      <c r="N126" s="22" t="str">
        <f>HYPERLINK("https://www.bible.com/fr/audio-bible/152/MAT.9.S21","▶ Écouter NT")</f>
        <v>▶ Écouter NT</v>
      </c>
      <c r="O126" s="27"/>
    </row>
    <row r="127" spans="1:15" ht="27.6">
      <c r="A127" s="9">
        <v>126</v>
      </c>
      <c r="B127" s="5" t="s">
        <v>439</v>
      </c>
      <c r="C127" s="5">
        <v>18</v>
      </c>
      <c r="D127" s="4" t="s">
        <v>440</v>
      </c>
      <c r="E127" s="4" t="s">
        <v>441</v>
      </c>
      <c r="F127" s="5" t="s">
        <v>27</v>
      </c>
      <c r="G127" s="5" t="s">
        <v>28</v>
      </c>
      <c r="H127" s="5" t="s">
        <v>29</v>
      </c>
      <c r="I127" s="5" t="s">
        <v>18</v>
      </c>
      <c r="J127" s="4" t="s">
        <v>30</v>
      </c>
      <c r="K127" s="4" t="s">
        <v>23</v>
      </c>
      <c r="L127" s="10"/>
      <c r="M127" s="26" t="str">
        <f>HYPERLINK("https://www.bible.com/fr/audio-bible/152/2KI.6.S21","▶ Écouter AT")</f>
        <v>▶ Écouter AT</v>
      </c>
      <c r="N127" s="22" t="str">
        <f>HYPERLINK("https://www.bible.com/fr/audio-bible/152/MRK.5.S21","▶ Écouter NT")</f>
        <v>▶ Écouter NT</v>
      </c>
      <c r="O127" s="27" t="str">
        <f>HYPERLINK("https://www.bible.com/fr/audio-bible/152/EPH.2.S21","▶ Écouter miroir")</f>
        <v>▶ Écouter miroir</v>
      </c>
    </row>
    <row r="128" spans="1:15">
      <c r="A128" s="9">
        <v>127</v>
      </c>
      <c r="B128" s="5" t="s">
        <v>442</v>
      </c>
      <c r="C128" s="5">
        <v>19</v>
      </c>
      <c r="D128" s="4" t="s">
        <v>443</v>
      </c>
      <c r="E128" s="4" t="s">
        <v>444</v>
      </c>
      <c r="F128" s="5" t="s">
        <v>27</v>
      </c>
      <c r="G128" s="5" t="s">
        <v>33</v>
      </c>
      <c r="H128" s="5" t="s">
        <v>34</v>
      </c>
      <c r="I128" s="5" t="s">
        <v>18</v>
      </c>
      <c r="J128" s="4" t="s">
        <v>35</v>
      </c>
      <c r="K128" s="4" t="s">
        <v>23</v>
      </c>
      <c r="L128" s="10"/>
      <c r="M128" s="26" t="str">
        <f>HYPERLINK("https://www.bible.com/fr/audio-bible/152/2KI.8.S21","▶ Écouter AT")</f>
        <v>▶ Écouter AT</v>
      </c>
      <c r="N128" s="22" t="str">
        <f>HYPERLINK("https://www.bible.com/fr/audio-bible/152/LUK.5.S21","▶ Écouter NT")</f>
        <v>▶ Écouter NT</v>
      </c>
      <c r="O128" s="27" t="str">
        <f>HYPERLINK("https://www.bible.com/fr/audio-bible/152/HEB.8.S21","▶ Écouter miroir")</f>
        <v>▶ Écouter miroir</v>
      </c>
    </row>
    <row r="129" spans="1:15">
      <c r="A129" s="9">
        <v>128</v>
      </c>
      <c r="B129" s="5" t="s">
        <v>445</v>
      </c>
      <c r="C129" s="5">
        <v>19</v>
      </c>
      <c r="D129" s="4" t="s">
        <v>446</v>
      </c>
      <c r="E129" s="4" t="s">
        <v>33</v>
      </c>
      <c r="F129" s="5" t="s">
        <v>18</v>
      </c>
      <c r="G129" s="5" t="s">
        <v>19</v>
      </c>
      <c r="H129" s="5" t="s">
        <v>34</v>
      </c>
      <c r="I129" s="5" t="s">
        <v>18</v>
      </c>
      <c r="J129" s="4" t="s">
        <v>35</v>
      </c>
      <c r="K129" s="4" t="s">
        <v>23</v>
      </c>
      <c r="L129" s="10"/>
      <c r="M129" s="26" t="str">
        <f>HYPERLINK("https://www.bible.com/fr/audio-bible/152/2KI.11.S21","▶ Écouter AT")</f>
        <v>▶ Écouter AT</v>
      </c>
      <c r="N129" s="22" t="str">
        <f>HYPERLINK("https://www.bible.com/fr/audio-bible/152/HEB.8.S21","▶ Écouter NT")</f>
        <v>▶ Écouter NT</v>
      </c>
      <c r="O129" s="27"/>
    </row>
    <row r="130" spans="1:15">
      <c r="A130" s="9">
        <v>129</v>
      </c>
      <c r="B130" s="5" t="s">
        <v>447</v>
      </c>
      <c r="C130" s="5">
        <v>19</v>
      </c>
      <c r="D130" s="4" t="s">
        <v>448</v>
      </c>
      <c r="E130" s="4" t="s">
        <v>33</v>
      </c>
      <c r="F130" s="5" t="s">
        <v>18</v>
      </c>
      <c r="G130" s="5" t="s">
        <v>19</v>
      </c>
      <c r="H130" s="5" t="s">
        <v>34</v>
      </c>
      <c r="I130" s="5" t="s">
        <v>18</v>
      </c>
      <c r="J130" s="4" t="s">
        <v>35</v>
      </c>
      <c r="K130" s="4" t="s">
        <v>23</v>
      </c>
      <c r="L130" s="10"/>
      <c r="M130" s="26" t="str">
        <f>HYPERLINK("https://www.bible.com/fr/audio-bible/152/2KI.13.S21","▶ Écouter AT")</f>
        <v>▶ Écouter AT</v>
      </c>
      <c r="N130" s="22" t="str">
        <f>HYPERLINK("https://www.bible.com/fr/audio-bible/152/HEB.8.S21","▶ Écouter NT")</f>
        <v>▶ Écouter NT</v>
      </c>
      <c r="O130" s="27"/>
    </row>
    <row r="131" spans="1:15">
      <c r="A131" s="9">
        <v>130</v>
      </c>
      <c r="B131" s="5" t="s">
        <v>449</v>
      </c>
      <c r="C131" s="5">
        <v>19</v>
      </c>
      <c r="D131" s="4" t="s">
        <v>450</v>
      </c>
      <c r="E131" s="4" t="s">
        <v>33</v>
      </c>
      <c r="F131" s="5" t="s">
        <v>18</v>
      </c>
      <c r="G131" s="5" t="s">
        <v>19</v>
      </c>
      <c r="H131" s="5" t="s">
        <v>34</v>
      </c>
      <c r="I131" s="5" t="s">
        <v>18</v>
      </c>
      <c r="J131" s="4" t="s">
        <v>35</v>
      </c>
      <c r="K131" s="4" t="s">
        <v>23</v>
      </c>
      <c r="L131" s="10"/>
      <c r="M131" s="26" t="str">
        <f>HYPERLINK("https://www.bible.com/fr/audio-bible/152/2KI.16.S21","▶ Écouter AT")</f>
        <v>▶ Écouter AT</v>
      </c>
      <c r="N131" s="22" t="str">
        <f>HYPERLINK("https://www.bible.com/fr/audio-bible/152/HEB.8.S21","▶ Écouter NT")</f>
        <v>▶ Écouter NT</v>
      </c>
      <c r="O131" s="27"/>
    </row>
    <row r="132" spans="1:15">
      <c r="A132" s="9">
        <v>131</v>
      </c>
      <c r="B132" s="5" t="s">
        <v>451</v>
      </c>
      <c r="C132" s="5">
        <v>19</v>
      </c>
      <c r="D132" s="4" t="s">
        <v>452</v>
      </c>
      <c r="E132" s="4" t="s">
        <v>453</v>
      </c>
      <c r="F132" s="5" t="s">
        <v>27</v>
      </c>
      <c r="G132" s="5" t="s">
        <v>253</v>
      </c>
      <c r="H132" s="5" t="s">
        <v>254</v>
      </c>
      <c r="I132" s="5" t="s">
        <v>57</v>
      </c>
      <c r="J132" s="4" t="s">
        <v>255</v>
      </c>
      <c r="K132" s="4" t="s">
        <v>23</v>
      </c>
      <c r="L132" s="10"/>
      <c r="M132" s="26" t="str">
        <f>HYPERLINK("https://www.bible.com/fr/audio-bible/152/2KI.18.S21","▶ Écouter AT")</f>
        <v>▶ Écouter AT</v>
      </c>
      <c r="N132" s="22" t="str">
        <f>HYPERLINK("https://www.bible.com/fr/audio-bible/152/LUK.18.S21","▶ Écouter NT")</f>
        <v>▶ Écouter NT</v>
      </c>
      <c r="O132" s="27" t="str">
        <f>HYPERLINK("https://www.bible.com/fr/audio-bible/152/LUK.1.S21","▶ Écouter miroir")</f>
        <v>▶ Écouter miroir</v>
      </c>
    </row>
    <row r="133" spans="1:15" ht="27.6">
      <c r="A133" s="9">
        <v>132</v>
      </c>
      <c r="B133" s="5" t="s">
        <v>454</v>
      </c>
      <c r="C133" s="5">
        <v>19</v>
      </c>
      <c r="D133" s="4" t="s">
        <v>455</v>
      </c>
      <c r="E133" s="4" t="s">
        <v>456</v>
      </c>
      <c r="F133" s="5" t="s">
        <v>27</v>
      </c>
      <c r="G133" s="5" t="s">
        <v>423</v>
      </c>
      <c r="H133" s="5" t="s">
        <v>424</v>
      </c>
      <c r="I133" s="5" t="s">
        <v>122</v>
      </c>
      <c r="J133" s="4" t="s">
        <v>425</v>
      </c>
      <c r="K133" s="4" t="s">
        <v>23</v>
      </c>
      <c r="L133" s="10"/>
      <c r="M133" s="26" t="str">
        <f>HYPERLINK("https://www.bible.com/fr/audio-bible/152/2KI.21.S21","▶ Écouter AT")</f>
        <v>▶ Écouter AT</v>
      </c>
      <c r="N133" s="22" t="str">
        <f>HYPERLINK("https://www.bible.com/fr/audio-bible/152/MAT.13.S21","▶ Écouter NT")</f>
        <v>▶ Écouter NT</v>
      </c>
      <c r="O133" s="27" t="str">
        <f>HYPERLINK("https://www.bible.com/fr/audio-bible/152/2PE.3.S21","▶ Écouter miroir")</f>
        <v>▶ Écouter miroir</v>
      </c>
    </row>
    <row r="134" spans="1:15">
      <c r="A134" s="9">
        <v>133</v>
      </c>
      <c r="B134" s="5" t="s">
        <v>457</v>
      </c>
      <c r="C134" s="5">
        <v>19</v>
      </c>
      <c r="D134" s="4" t="s">
        <v>458</v>
      </c>
      <c r="E134" s="4" t="s">
        <v>33</v>
      </c>
      <c r="F134" s="5" t="s">
        <v>18</v>
      </c>
      <c r="G134" s="5" t="s">
        <v>19</v>
      </c>
      <c r="H134" s="5" t="s">
        <v>34</v>
      </c>
      <c r="I134" s="5" t="s">
        <v>18</v>
      </c>
      <c r="J134" s="4" t="s">
        <v>35</v>
      </c>
      <c r="K134" s="4" t="s">
        <v>23</v>
      </c>
      <c r="L134" s="10"/>
      <c r="M134" s="26" t="str">
        <f>HYPERLINK("https://www.bible.com/fr/audio-bible/152/2KI.23.S21","▶ Écouter AT")</f>
        <v>▶ Écouter AT</v>
      </c>
      <c r="N134" s="22" t="str">
        <f>HYPERLINK("https://www.bible.com/fr/audio-bible/152/HEB.8.S21","▶ Écouter NT")</f>
        <v>▶ Écouter NT</v>
      </c>
      <c r="O134" s="27"/>
    </row>
    <row r="135" spans="1:15">
      <c r="A135" s="9">
        <v>134</v>
      </c>
      <c r="B135" s="5" t="s">
        <v>459</v>
      </c>
      <c r="C135" s="5">
        <v>20</v>
      </c>
      <c r="D135" s="4" t="s">
        <v>460</v>
      </c>
      <c r="E135" s="4" t="s">
        <v>461</v>
      </c>
      <c r="F135" s="5" t="s">
        <v>27</v>
      </c>
      <c r="G135" s="5" t="s">
        <v>33</v>
      </c>
      <c r="H135" s="5" t="s">
        <v>34</v>
      </c>
      <c r="I135" s="5" t="s">
        <v>18</v>
      </c>
      <c r="J135" s="4" t="s">
        <v>35</v>
      </c>
      <c r="K135" s="4" t="s">
        <v>23</v>
      </c>
      <c r="L135" s="10"/>
      <c r="M135" s="26" t="str">
        <f>HYPERLINK("https://www.bible.com/fr/audio-bible/152/1CH.1.S21","▶ Écouter AT")</f>
        <v>▶ Écouter AT</v>
      </c>
      <c r="N135" s="22" t="str">
        <f>HYPERLINK("https://www.bible.com/fr/audio-bible/152/1CO.16.S21","▶ Écouter NT")</f>
        <v>▶ Écouter NT</v>
      </c>
      <c r="O135" s="27" t="str">
        <f>HYPERLINK("https://www.bible.com/fr/audio-bible/152/HEB.8.S21","▶ Écouter miroir")</f>
        <v>▶ Écouter miroir</v>
      </c>
    </row>
    <row r="136" spans="1:15">
      <c r="A136" s="9">
        <v>135</v>
      </c>
      <c r="B136" s="5" t="s">
        <v>462</v>
      </c>
      <c r="C136" s="5">
        <v>20</v>
      </c>
      <c r="D136" s="4" t="s">
        <v>463</v>
      </c>
      <c r="E136" s="4" t="s">
        <v>464</v>
      </c>
      <c r="F136" s="5" t="s">
        <v>27</v>
      </c>
      <c r="G136" s="5" t="s">
        <v>19</v>
      </c>
      <c r="H136" s="5" t="s">
        <v>34</v>
      </c>
      <c r="I136" s="5" t="s">
        <v>18</v>
      </c>
      <c r="J136" s="4" t="s">
        <v>35</v>
      </c>
      <c r="K136" s="4" t="s">
        <v>23</v>
      </c>
      <c r="L136" s="10"/>
      <c r="M136" s="26" t="str">
        <f>HYPERLINK("https://www.bible.com/fr/audio-bible/152/1CH.4.S21","▶ Écouter AT")</f>
        <v>▶ Écouter AT</v>
      </c>
      <c r="N136" s="22" t="str">
        <f>HYPERLINK("https://www.bible.com/fr/audio-bible/152/HEB.11.S21","▶ Écouter NT")</f>
        <v>▶ Écouter NT</v>
      </c>
      <c r="O136" s="27"/>
    </row>
    <row r="137" spans="1:15">
      <c r="A137" s="9">
        <v>136</v>
      </c>
      <c r="B137" s="5" t="s">
        <v>465</v>
      </c>
      <c r="C137" s="5">
        <v>20</v>
      </c>
      <c r="D137" s="4" t="s">
        <v>466</v>
      </c>
      <c r="E137" s="4" t="s">
        <v>467</v>
      </c>
      <c r="F137" s="5" t="s">
        <v>27</v>
      </c>
      <c r="G137" s="5" t="s">
        <v>33</v>
      </c>
      <c r="H137" s="5" t="s">
        <v>34</v>
      </c>
      <c r="I137" s="5" t="s">
        <v>18</v>
      </c>
      <c r="J137" s="4" t="s">
        <v>35</v>
      </c>
      <c r="K137" s="4" t="s">
        <v>23</v>
      </c>
      <c r="L137" s="10"/>
      <c r="M137" s="26" t="str">
        <f>HYPERLINK("https://www.bible.com/fr/audio-bible/152/1CH.6.S21","▶ Écouter AT")</f>
        <v>▶ Écouter AT</v>
      </c>
      <c r="N137" s="22" t="str">
        <f>HYPERLINK("https://www.bible.com/fr/audio-bible/152/1TH.5.S21","▶ Écouter NT")</f>
        <v>▶ Écouter NT</v>
      </c>
      <c r="O137" s="27" t="str">
        <f>HYPERLINK("https://www.bible.com/fr/audio-bible/152/HEB.8.S21","▶ Écouter miroir")</f>
        <v>▶ Écouter miroir</v>
      </c>
    </row>
    <row r="138" spans="1:15">
      <c r="A138" s="9">
        <v>137</v>
      </c>
      <c r="B138" s="5" t="s">
        <v>468</v>
      </c>
      <c r="C138" s="5">
        <v>20</v>
      </c>
      <c r="D138" s="4" t="s">
        <v>469</v>
      </c>
      <c r="E138" s="4" t="s">
        <v>470</v>
      </c>
      <c r="F138" s="5" t="s">
        <v>27</v>
      </c>
      <c r="G138" s="5" t="s">
        <v>19</v>
      </c>
      <c r="H138" s="5" t="s">
        <v>34</v>
      </c>
      <c r="I138" s="5" t="s">
        <v>18</v>
      </c>
      <c r="J138" s="4" t="s">
        <v>35</v>
      </c>
      <c r="K138" s="4" t="s">
        <v>23</v>
      </c>
      <c r="L138" s="10"/>
      <c r="M138" s="26" t="str">
        <f>HYPERLINK("https://www.bible.com/fr/audio-bible/152/1CH.9.S21","▶ Écouter AT")</f>
        <v>▶ Écouter AT</v>
      </c>
      <c r="N138" s="22" t="str">
        <f>HYPERLINK("https://www.bible.com/fr/audio-bible/152/1CO.11.S21","▶ Écouter NT")</f>
        <v>▶ Écouter NT</v>
      </c>
      <c r="O138" s="27"/>
    </row>
    <row r="139" spans="1:15">
      <c r="A139" s="9">
        <v>138</v>
      </c>
      <c r="B139" s="5" t="s">
        <v>471</v>
      </c>
      <c r="C139" s="5">
        <v>20</v>
      </c>
      <c r="D139" s="4" t="s">
        <v>472</v>
      </c>
      <c r="E139" s="4" t="s">
        <v>33</v>
      </c>
      <c r="F139" s="5" t="s">
        <v>18</v>
      </c>
      <c r="G139" s="5" t="s">
        <v>19</v>
      </c>
      <c r="H139" s="5" t="s">
        <v>34</v>
      </c>
      <c r="I139" s="5" t="s">
        <v>18</v>
      </c>
      <c r="J139" s="4" t="s">
        <v>35</v>
      </c>
      <c r="K139" s="4" t="s">
        <v>23</v>
      </c>
      <c r="L139" s="10"/>
      <c r="M139" s="26" t="str">
        <f>HYPERLINK("https://www.bible.com/fr/audio-bible/152/1CH.11.S21","▶ Écouter AT")</f>
        <v>▶ Écouter AT</v>
      </c>
      <c r="N139" s="22" t="str">
        <f>HYPERLINK("https://www.bible.com/fr/audio-bible/152/HEB.8.S21","▶ Écouter NT")</f>
        <v>▶ Écouter NT</v>
      </c>
      <c r="O139" s="27"/>
    </row>
    <row r="140" spans="1:15">
      <c r="A140" s="9">
        <v>139</v>
      </c>
      <c r="B140" s="5" t="s">
        <v>473</v>
      </c>
      <c r="C140" s="5">
        <v>20</v>
      </c>
      <c r="D140" s="4" t="s">
        <v>474</v>
      </c>
      <c r="E140" s="4" t="s">
        <v>33</v>
      </c>
      <c r="F140" s="5" t="s">
        <v>18</v>
      </c>
      <c r="G140" s="5" t="s">
        <v>19</v>
      </c>
      <c r="H140" s="5" t="s">
        <v>34</v>
      </c>
      <c r="I140" s="5" t="s">
        <v>18</v>
      </c>
      <c r="J140" s="4" t="s">
        <v>35</v>
      </c>
      <c r="K140" s="4" t="s">
        <v>23</v>
      </c>
      <c r="L140" s="10"/>
      <c r="M140" s="26" t="str">
        <f>HYPERLINK("https://www.bible.com/fr/audio-bible/152/1CH.14.S21","▶ Écouter AT")</f>
        <v>▶ Écouter AT</v>
      </c>
      <c r="N140" s="22" t="str">
        <f>HYPERLINK("https://www.bible.com/fr/audio-bible/152/HEB.8.S21","▶ Écouter NT")</f>
        <v>▶ Écouter NT</v>
      </c>
      <c r="O140" s="27"/>
    </row>
    <row r="141" spans="1:15">
      <c r="A141" s="9">
        <v>140</v>
      </c>
      <c r="B141" s="5" t="s">
        <v>475</v>
      </c>
      <c r="C141" s="5">
        <v>20</v>
      </c>
      <c r="D141" s="4" t="s">
        <v>476</v>
      </c>
      <c r="E141" s="4" t="s">
        <v>477</v>
      </c>
      <c r="F141" s="5" t="s">
        <v>27</v>
      </c>
      <c r="G141" s="5" t="s">
        <v>19</v>
      </c>
      <c r="H141" s="5" t="s">
        <v>211</v>
      </c>
      <c r="I141" s="5" t="s">
        <v>212</v>
      </c>
      <c r="J141" s="4" t="s">
        <v>213</v>
      </c>
      <c r="K141" s="4" t="s">
        <v>23</v>
      </c>
      <c r="L141" s="10"/>
      <c r="M141" s="26" t="str">
        <f>HYPERLINK("https://www.bible.com/fr/audio-bible/152/1CH.16.S21","▶ Écouter AT")</f>
        <v>▶ Écouter AT</v>
      </c>
      <c r="N141" s="22" t="str">
        <f>HYPERLINK("https://www.bible.com/fr/audio-bible/152/JHN.12.S21","▶ Écouter NT")</f>
        <v>▶ Écouter NT</v>
      </c>
      <c r="O141" s="27"/>
    </row>
    <row r="142" spans="1:15">
      <c r="A142" s="9">
        <v>141</v>
      </c>
      <c r="B142" s="5" t="s">
        <v>478</v>
      </c>
      <c r="C142" s="5">
        <v>21</v>
      </c>
      <c r="D142" s="4" t="s">
        <v>479</v>
      </c>
      <c r="E142" s="4" t="s">
        <v>480</v>
      </c>
      <c r="F142" s="5" t="s">
        <v>27</v>
      </c>
      <c r="G142" s="5" t="s">
        <v>342</v>
      </c>
      <c r="H142" s="5" t="s">
        <v>211</v>
      </c>
      <c r="I142" s="5" t="s">
        <v>212</v>
      </c>
      <c r="J142" s="4" t="s">
        <v>213</v>
      </c>
      <c r="K142" s="4" t="s">
        <v>23</v>
      </c>
      <c r="L142" s="10"/>
      <c r="M142" s="26" t="str">
        <f>HYPERLINK("https://www.bible.com/fr/audio-bible/152/1CH.19.S21","▶ Écouter AT")</f>
        <v>▶ Écouter AT</v>
      </c>
      <c r="N142" s="22" t="str">
        <f>HYPERLINK("https://www.bible.com/fr/audio-bible/152/MAT.11.S21","▶ Écouter NT")</f>
        <v>▶ Écouter NT</v>
      </c>
      <c r="O142" s="27" t="str">
        <f>HYPERLINK("https://www.bible.com/fr/audio-bible/152/LUK.24.S21","▶ Écouter miroir")</f>
        <v>▶ Écouter miroir</v>
      </c>
    </row>
    <row r="143" spans="1:15" ht="27.6">
      <c r="A143" s="9">
        <v>142</v>
      </c>
      <c r="B143" s="5" t="s">
        <v>481</v>
      </c>
      <c r="C143" s="5">
        <v>21</v>
      </c>
      <c r="D143" s="4" t="s">
        <v>482</v>
      </c>
      <c r="E143" s="4" t="s">
        <v>483</v>
      </c>
      <c r="F143" s="5" t="s">
        <v>27</v>
      </c>
      <c r="G143" s="5" t="s">
        <v>19</v>
      </c>
      <c r="H143" s="5" t="s">
        <v>414</v>
      </c>
      <c r="I143" s="5" t="s">
        <v>57</v>
      </c>
      <c r="J143" s="4" t="s">
        <v>415</v>
      </c>
      <c r="K143" s="4" t="s">
        <v>23</v>
      </c>
      <c r="L143" s="10"/>
      <c r="M143" s="26" t="str">
        <f>HYPERLINK("https://www.bible.com/fr/audio-bible/152/1CH.21.S21","▶ Écouter AT")</f>
        <v>▶ Écouter AT</v>
      </c>
      <c r="N143" s="22" t="str">
        <f>HYPERLINK("https://www.bible.com/fr/audio-bible/152/LUK.20.S21","▶ Écouter NT")</f>
        <v>▶ Écouter NT</v>
      </c>
      <c r="O143" s="27"/>
    </row>
    <row r="144" spans="1:15" ht="27.6">
      <c r="A144" s="9">
        <v>143</v>
      </c>
      <c r="B144" s="5" t="s">
        <v>484</v>
      </c>
      <c r="C144" s="5">
        <v>21</v>
      </c>
      <c r="D144" s="4" t="s">
        <v>485</v>
      </c>
      <c r="E144" s="4" t="s">
        <v>486</v>
      </c>
      <c r="F144" s="5" t="s">
        <v>27</v>
      </c>
      <c r="G144" s="5" t="s">
        <v>487</v>
      </c>
      <c r="H144" s="5" t="s">
        <v>414</v>
      </c>
      <c r="I144" s="5" t="s">
        <v>57</v>
      </c>
      <c r="J144" s="4" t="s">
        <v>415</v>
      </c>
      <c r="K144" s="4" t="s">
        <v>23</v>
      </c>
      <c r="L144" s="10"/>
      <c r="M144" s="26" t="str">
        <f>HYPERLINK("https://www.bible.com/fr/audio-bible/152/1CH.24.S21","▶ Écouter AT")</f>
        <v>▶ Écouter AT</v>
      </c>
      <c r="N144" s="22" t="str">
        <f>HYPERLINK("https://www.bible.com/fr/audio-bible/152/1TI.5.S21","▶ Écouter NT")</f>
        <v>▶ Écouter NT</v>
      </c>
      <c r="O144" s="27" t="str">
        <f>HYPERLINK("https://www.bible.com/fr/audio-bible/152/1CO.3.S21","▶ Écouter miroir")</f>
        <v>▶ Écouter miroir</v>
      </c>
    </row>
    <row r="145" spans="1:15" ht="27.6">
      <c r="A145" s="9">
        <v>144</v>
      </c>
      <c r="B145" s="5" t="s">
        <v>488</v>
      </c>
      <c r="C145" s="5">
        <v>21</v>
      </c>
      <c r="D145" s="4" t="s">
        <v>489</v>
      </c>
      <c r="E145" s="4" t="s">
        <v>490</v>
      </c>
      <c r="F145" s="5" t="s">
        <v>27</v>
      </c>
      <c r="G145" s="5" t="s">
        <v>19</v>
      </c>
      <c r="H145" s="5" t="s">
        <v>414</v>
      </c>
      <c r="I145" s="5" t="s">
        <v>57</v>
      </c>
      <c r="J145" s="4" t="s">
        <v>415</v>
      </c>
      <c r="K145" s="4" t="s">
        <v>23</v>
      </c>
      <c r="L145" s="10"/>
      <c r="M145" s="26" t="str">
        <f>HYPERLINK("https://www.bible.com/fr/audio-bible/152/1CH.26.S21","▶ Écouter AT")</f>
        <v>▶ Écouter AT</v>
      </c>
      <c r="N145" s="22" t="str">
        <f>HYPERLINK("https://www.bible.com/fr/audio-bible/152/1CO.4.S21","▶ Écouter NT")</f>
        <v>▶ Écouter NT</v>
      </c>
      <c r="O145" s="27"/>
    </row>
    <row r="146" spans="1:15" ht="27.6">
      <c r="A146" s="9">
        <v>145</v>
      </c>
      <c r="B146" s="5" t="s">
        <v>491</v>
      </c>
      <c r="C146" s="5">
        <v>21</v>
      </c>
      <c r="D146" s="4" t="s">
        <v>492</v>
      </c>
      <c r="E146" s="4" t="s">
        <v>493</v>
      </c>
      <c r="F146" s="5" t="s">
        <v>27</v>
      </c>
      <c r="G146" s="5" t="s">
        <v>19</v>
      </c>
      <c r="H146" s="5" t="s">
        <v>414</v>
      </c>
      <c r="I146" s="5" t="s">
        <v>57</v>
      </c>
      <c r="J146" s="4" t="s">
        <v>415</v>
      </c>
      <c r="K146" s="4" t="s">
        <v>23</v>
      </c>
      <c r="L146" s="10"/>
      <c r="M146" s="26" t="str">
        <f>HYPERLINK("https://www.bible.com/fr/audio-bible/152/1CH.29.S21","▶ Écouter AT")</f>
        <v>▶ Écouter AT</v>
      </c>
      <c r="N146" s="22" t="str">
        <f>HYPERLINK("https://www.bible.com/fr/audio-bible/152/1CO.3.S21","▶ Écouter NT")</f>
        <v>▶ Écouter NT</v>
      </c>
      <c r="O146" s="27"/>
    </row>
    <row r="147" spans="1:15" ht="27.6">
      <c r="A147" s="9">
        <v>146</v>
      </c>
      <c r="B147" s="5" t="s">
        <v>494</v>
      </c>
      <c r="C147" s="5">
        <v>21</v>
      </c>
      <c r="D147" s="4" t="s">
        <v>495</v>
      </c>
      <c r="E147" s="4" t="s">
        <v>487</v>
      </c>
      <c r="F147" s="5" t="s">
        <v>18</v>
      </c>
      <c r="G147" s="5" t="s">
        <v>19</v>
      </c>
      <c r="H147" s="5" t="s">
        <v>414</v>
      </c>
      <c r="I147" s="5" t="s">
        <v>57</v>
      </c>
      <c r="J147" s="4" t="s">
        <v>415</v>
      </c>
      <c r="K147" s="4" t="s">
        <v>23</v>
      </c>
      <c r="L147" s="10"/>
      <c r="M147" s="26" t="str">
        <f>HYPERLINK("https://www.bible.com/fr/audio-bible/152/2CH.3.S21","▶ Écouter AT")</f>
        <v>▶ Écouter AT</v>
      </c>
      <c r="N147" s="22" t="str">
        <f>HYPERLINK("https://www.bible.com/fr/audio-bible/152/1CO.3.S21","▶ Écouter NT")</f>
        <v>▶ Écouter NT</v>
      </c>
      <c r="O147" s="27"/>
    </row>
    <row r="148" spans="1:15" ht="27.6">
      <c r="A148" s="9">
        <v>147</v>
      </c>
      <c r="B148" s="5" t="s">
        <v>496</v>
      </c>
      <c r="C148" s="5">
        <v>21</v>
      </c>
      <c r="D148" s="4" t="s">
        <v>497</v>
      </c>
      <c r="E148" s="4" t="s">
        <v>487</v>
      </c>
      <c r="F148" s="5" t="s">
        <v>18</v>
      </c>
      <c r="G148" s="5" t="s">
        <v>19</v>
      </c>
      <c r="H148" s="5" t="s">
        <v>414</v>
      </c>
      <c r="I148" s="5" t="s">
        <v>57</v>
      </c>
      <c r="J148" s="4" t="s">
        <v>415</v>
      </c>
      <c r="K148" s="4" t="s">
        <v>23</v>
      </c>
      <c r="L148" s="10"/>
      <c r="M148" s="26" t="str">
        <f>HYPERLINK("https://www.bible.com/fr/audio-bible/152/2CH.5.S21","▶ Écouter AT")</f>
        <v>▶ Écouter AT</v>
      </c>
      <c r="N148" s="22" t="str">
        <f>HYPERLINK("https://www.bible.com/fr/audio-bible/152/1CO.3.S21","▶ Écouter NT")</f>
        <v>▶ Écouter NT</v>
      </c>
      <c r="O148" s="27"/>
    </row>
    <row r="149" spans="1:15" ht="27.6">
      <c r="A149" s="9">
        <v>148</v>
      </c>
      <c r="B149" s="5" t="s">
        <v>498</v>
      </c>
      <c r="C149" s="5">
        <v>22</v>
      </c>
      <c r="D149" s="4" t="s">
        <v>499</v>
      </c>
      <c r="E149" s="4" t="s">
        <v>487</v>
      </c>
      <c r="F149" s="5" t="s">
        <v>18</v>
      </c>
      <c r="G149" s="5" t="s">
        <v>19</v>
      </c>
      <c r="H149" s="5" t="s">
        <v>414</v>
      </c>
      <c r="I149" s="5" t="s">
        <v>57</v>
      </c>
      <c r="J149" s="4" t="s">
        <v>415</v>
      </c>
      <c r="K149" s="4" t="s">
        <v>23</v>
      </c>
      <c r="L149" s="10"/>
      <c r="M149" s="26" t="str">
        <f>HYPERLINK("https://www.bible.com/fr/audio-bible/152/2CH.8.S21","▶ Écouter AT")</f>
        <v>▶ Écouter AT</v>
      </c>
      <c r="N149" s="22" t="str">
        <f>HYPERLINK("https://www.bible.com/fr/audio-bible/152/1CO.3.S21","▶ Écouter NT")</f>
        <v>▶ Écouter NT</v>
      </c>
      <c r="O149" s="27"/>
    </row>
    <row r="150" spans="1:15">
      <c r="A150" s="9">
        <v>149</v>
      </c>
      <c r="B150" s="5" t="s">
        <v>500</v>
      </c>
      <c r="C150" s="5">
        <v>22</v>
      </c>
      <c r="D150" s="4" t="s">
        <v>501</v>
      </c>
      <c r="E150" s="4" t="s">
        <v>253</v>
      </c>
      <c r="F150" s="5" t="s">
        <v>18</v>
      </c>
      <c r="G150" s="5" t="s">
        <v>19</v>
      </c>
      <c r="H150" s="5" t="s">
        <v>254</v>
      </c>
      <c r="I150" s="5" t="s">
        <v>57</v>
      </c>
      <c r="J150" s="4" t="s">
        <v>255</v>
      </c>
      <c r="K150" s="4" t="s">
        <v>23</v>
      </c>
      <c r="L150" s="10"/>
      <c r="M150" s="26" t="str">
        <f>HYPERLINK("https://www.bible.com/fr/audio-bible/152/2CH.10.S21","▶ Écouter AT")</f>
        <v>▶ Écouter AT</v>
      </c>
      <c r="N150" s="22" t="str">
        <f>HYPERLINK("https://www.bible.com/fr/audio-bible/152/LUK.1.S21","▶ Écouter NT")</f>
        <v>▶ Écouter NT</v>
      </c>
      <c r="O150" s="27"/>
    </row>
    <row r="151" spans="1:15">
      <c r="A151" s="9">
        <v>150</v>
      </c>
      <c r="B151" s="5" t="s">
        <v>502</v>
      </c>
      <c r="C151" s="5">
        <v>22</v>
      </c>
      <c r="D151" s="4" t="s">
        <v>503</v>
      </c>
      <c r="E151" s="4" t="s">
        <v>253</v>
      </c>
      <c r="F151" s="5" t="s">
        <v>18</v>
      </c>
      <c r="G151" s="5" t="s">
        <v>19</v>
      </c>
      <c r="H151" s="5" t="s">
        <v>254</v>
      </c>
      <c r="I151" s="5" t="s">
        <v>57</v>
      </c>
      <c r="J151" s="4" t="s">
        <v>255</v>
      </c>
      <c r="K151" s="4" t="s">
        <v>23</v>
      </c>
      <c r="L151" s="10"/>
      <c r="M151" s="26" t="str">
        <f>HYPERLINK("https://www.bible.com/fr/audio-bible/152/2CH.13.S21","▶ Écouter AT")</f>
        <v>▶ Écouter AT</v>
      </c>
      <c r="N151" s="22" t="str">
        <f>HYPERLINK("https://www.bible.com/fr/audio-bible/152/LUK.1.S21","▶ Écouter NT")</f>
        <v>▶ Écouter NT</v>
      </c>
      <c r="O151" s="27"/>
    </row>
    <row r="152" spans="1:15">
      <c r="A152" s="9">
        <v>151</v>
      </c>
      <c r="B152" s="5" t="s">
        <v>504</v>
      </c>
      <c r="C152" s="5">
        <v>22</v>
      </c>
      <c r="D152" s="4" t="s">
        <v>505</v>
      </c>
      <c r="E152" s="4" t="s">
        <v>253</v>
      </c>
      <c r="F152" s="5" t="s">
        <v>18</v>
      </c>
      <c r="G152" s="5" t="s">
        <v>19</v>
      </c>
      <c r="H152" s="5" t="s">
        <v>254</v>
      </c>
      <c r="I152" s="5" t="s">
        <v>57</v>
      </c>
      <c r="J152" s="4" t="s">
        <v>255</v>
      </c>
      <c r="K152" s="4" t="s">
        <v>23</v>
      </c>
      <c r="L152" s="10"/>
      <c r="M152" s="26" t="str">
        <f>HYPERLINK("https://www.bible.com/fr/audio-bible/152/2CH.15.S21","▶ Écouter AT")</f>
        <v>▶ Écouter AT</v>
      </c>
      <c r="N152" s="22" t="str">
        <f>HYPERLINK("https://www.bible.com/fr/audio-bible/152/LUK.1.S21","▶ Écouter NT")</f>
        <v>▶ Écouter NT</v>
      </c>
      <c r="O152" s="27"/>
    </row>
    <row r="153" spans="1:15">
      <c r="A153" s="9">
        <v>152</v>
      </c>
      <c r="B153" s="5" t="s">
        <v>506</v>
      </c>
      <c r="C153" s="5">
        <v>22</v>
      </c>
      <c r="D153" s="4" t="s">
        <v>507</v>
      </c>
      <c r="E153" s="4" t="s">
        <v>253</v>
      </c>
      <c r="F153" s="5" t="s">
        <v>18</v>
      </c>
      <c r="G153" s="5" t="s">
        <v>19</v>
      </c>
      <c r="H153" s="5" t="s">
        <v>254</v>
      </c>
      <c r="I153" s="5" t="s">
        <v>57</v>
      </c>
      <c r="J153" s="4" t="s">
        <v>255</v>
      </c>
      <c r="K153" s="4" t="s">
        <v>23</v>
      </c>
      <c r="L153" s="10"/>
      <c r="M153" s="26" t="str">
        <f>HYPERLINK("https://www.bible.com/fr/audio-bible/152/2CH.18.S21","▶ Écouter AT")</f>
        <v>▶ Écouter AT</v>
      </c>
      <c r="N153" s="22" t="str">
        <f>HYPERLINK("https://www.bible.com/fr/audio-bible/152/LUK.1.S21","▶ Écouter NT")</f>
        <v>▶ Écouter NT</v>
      </c>
      <c r="O153" s="27"/>
    </row>
    <row r="154" spans="1:15">
      <c r="A154" s="9">
        <v>153</v>
      </c>
      <c r="B154" s="5" t="s">
        <v>508</v>
      </c>
      <c r="C154" s="5">
        <v>22</v>
      </c>
      <c r="D154" s="4" t="s">
        <v>509</v>
      </c>
      <c r="E154" s="4" t="s">
        <v>510</v>
      </c>
      <c r="F154" s="5" t="s">
        <v>27</v>
      </c>
      <c r="G154" s="5" t="s">
        <v>33</v>
      </c>
      <c r="H154" s="5" t="s">
        <v>34</v>
      </c>
      <c r="I154" s="5" t="s">
        <v>18</v>
      </c>
      <c r="J154" s="4" t="s">
        <v>35</v>
      </c>
      <c r="K154" s="4" t="s">
        <v>23</v>
      </c>
      <c r="L154" s="10"/>
      <c r="M154" s="26" t="str">
        <f>HYPERLINK("https://www.bible.com/fr/audio-bible/152/2CH.20.S21","▶ Écouter AT")</f>
        <v>▶ Écouter AT</v>
      </c>
      <c r="N154" s="22" t="str">
        <f>HYPERLINK("https://www.bible.com/fr/audio-bible/152/ACT.20.S21","▶ Écouter NT")</f>
        <v>▶ Écouter NT</v>
      </c>
      <c r="O154" s="27" t="str">
        <f>HYPERLINK("https://www.bible.com/fr/audio-bible/152/HEB.8.S21","▶ Écouter miroir")</f>
        <v>▶ Écouter miroir</v>
      </c>
    </row>
    <row r="155" spans="1:15">
      <c r="A155" s="9">
        <v>154</v>
      </c>
      <c r="B155" s="5" t="s">
        <v>511</v>
      </c>
      <c r="C155" s="5">
        <v>22</v>
      </c>
      <c r="D155" s="4" t="s">
        <v>512</v>
      </c>
      <c r="E155" s="4" t="s">
        <v>33</v>
      </c>
      <c r="F155" s="5" t="s">
        <v>18</v>
      </c>
      <c r="G155" s="5" t="s">
        <v>19</v>
      </c>
      <c r="H155" s="5" t="s">
        <v>34</v>
      </c>
      <c r="I155" s="5" t="s">
        <v>18</v>
      </c>
      <c r="J155" s="4" t="s">
        <v>35</v>
      </c>
      <c r="K155" s="4" t="s">
        <v>23</v>
      </c>
      <c r="L155" s="10"/>
      <c r="M155" s="26" t="str">
        <f>HYPERLINK("https://www.bible.com/fr/audio-bible/152/2CH.23.S21","▶ Écouter AT")</f>
        <v>▶ Écouter AT</v>
      </c>
      <c r="N155" s="22" t="str">
        <f>HYPERLINK("https://www.bible.com/fr/audio-bible/152/HEB.8.S21","▶ Écouter NT")</f>
        <v>▶ Écouter NT</v>
      </c>
      <c r="O155" s="27"/>
    </row>
    <row r="156" spans="1:15">
      <c r="A156" s="9">
        <v>155</v>
      </c>
      <c r="B156" s="5" t="s">
        <v>513</v>
      </c>
      <c r="C156" s="5">
        <v>23</v>
      </c>
      <c r="D156" s="4" t="s">
        <v>514</v>
      </c>
      <c r="E156" s="4" t="s">
        <v>33</v>
      </c>
      <c r="F156" s="5" t="s">
        <v>18</v>
      </c>
      <c r="G156" s="5" t="s">
        <v>19</v>
      </c>
      <c r="H156" s="5" t="s">
        <v>34</v>
      </c>
      <c r="I156" s="5" t="s">
        <v>18</v>
      </c>
      <c r="J156" s="4" t="s">
        <v>35</v>
      </c>
      <c r="K156" s="4" t="s">
        <v>23</v>
      </c>
      <c r="L156" s="10"/>
      <c r="M156" s="26" t="str">
        <f>HYPERLINK("https://www.bible.com/fr/audio-bible/152/2CH.25.S21","▶ Écouter AT")</f>
        <v>▶ Écouter AT</v>
      </c>
      <c r="N156" s="22" t="str">
        <f>HYPERLINK("https://www.bible.com/fr/audio-bible/152/HEB.8.S21","▶ Écouter NT")</f>
        <v>▶ Écouter NT</v>
      </c>
      <c r="O156" s="27"/>
    </row>
    <row r="157" spans="1:15" ht="27.6">
      <c r="A157" s="9">
        <v>156</v>
      </c>
      <c r="B157" s="5" t="s">
        <v>515</v>
      </c>
      <c r="C157" s="5">
        <v>23</v>
      </c>
      <c r="D157" s="4" t="s">
        <v>516</v>
      </c>
      <c r="E157" s="4" t="s">
        <v>517</v>
      </c>
      <c r="F157" s="5" t="s">
        <v>27</v>
      </c>
      <c r="G157" s="5" t="s">
        <v>183</v>
      </c>
      <c r="H157" s="5" t="s">
        <v>184</v>
      </c>
      <c r="I157" s="5" t="s">
        <v>57</v>
      </c>
      <c r="J157" s="4" t="s">
        <v>185</v>
      </c>
      <c r="K157" s="4" t="s">
        <v>23</v>
      </c>
      <c r="L157" s="10"/>
      <c r="M157" s="26" t="str">
        <f>HYPERLINK("https://www.bible.com/fr/audio-bible/152/2CH.28.S21","▶ Écouter AT")</f>
        <v>▶ Écouter AT</v>
      </c>
      <c r="N157" s="22" t="str">
        <f>HYPERLINK("https://www.bible.com/fr/audio-bible/152/JHN.18.S21","▶ Écouter NT")</f>
        <v>▶ Écouter NT</v>
      </c>
      <c r="O157" s="27" t="str">
        <f>HYPERLINK("https://www.bible.com/fr/audio-bible/152/1CO.5.S21","▶ Écouter miroir")</f>
        <v>▶ Écouter miroir</v>
      </c>
    </row>
    <row r="158" spans="1:15" ht="27.6">
      <c r="A158" s="9">
        <v>157</v>
      </c>
      <c r="B158" s="5" t="s">
        <v>518</v>
      </c>
      <c r="C158" s="5">
        <v>23</v>
      </c>
      <c r="D158" s="4" t="s">
        <v>519</v>
      </c>
      <c r="E158" s="4" t="s">
        <v>520</v>
      </c>
      <c r="F158" s="5" t="s">
        <v>27</v>
      </c>
      <c r="G158" s="5" t="s">
        <v>183</v>
      </c>
      <c r="H158" s="5" t="s">
        <v>184</v>
      </c>
      <c r="I158" s="5" t="s">
        <v>57</v>
      </c>
      <c r="J158" s="4" t="s">
        <v>185</v>
      </c>
      <c r="K158" s="4" t="s">
        <v>23</v>
      </c>
      <c r="L158" s="10"/>
      <c r="M158" s="26" t="str">
        <f>HYPERLINK("https://www.bible.com/fr/audio-bible/152/2CH.31.S21","▶ Écouter AT")</f>
        <v>▶ Écouter AT</v>
      </c>
      <c r="N158" s="22" t="str">
        <f>HYPERLINK("https://www.bible.com/fr/audio-bible/152/JHN.19.S21","▶ Écouter NT")</f>
        <v>▶ Écouter NT</v>
      </c>
      <c r="O158" s="27" t="str">
        <f>HYPERLINK("https://www.bible.com/fr/audio-bible/152/1CO.5.S21","▶ Écouter miroir")</f>
        <v>▶ Écouter miroir</v>
      </c>
    </row>
    <row r="159" spans="1:15" ht="27.6">
      <c r="A159" s="9">
        <v>158</v>
      </c>
      <c r="B159" s="5" t="s">
        <v>521</v>
      </c>
      <c r="C159" s="5">
        <v>23</v>
      </c>
      <c r="D159" s="4" t="s">
        <v>522</v>
      </c>
      <c r="E159" s="4" t="s">
        <v>523</v>
      </c>
      <c r="F159" s="5" t="s">
        <v>18</v>
      </c>
      <c r="G159" s="5" t="s">
        <v>19</v>
      </c>
      <c r="H159" s="5" t="s">
        <v>524</v>
      </c>
      <c r="I159" s="5" t="s">
        <v>40</v>
      </c>
      <c r="J159" s="4" t="s">
        <v>525</v>
      </c>
      <c r="K159" s="4" t="s">
        <v>23</v>
      </c>
      <c r="L159" s="10"/>
      <c r="M159" s="26" t="str">
        <f>HYPERLINK("https://www.bible.com/fr/audio-bible/152/2CH.33.S21","▶ Écouter AT")</f>
        <v>▶ Écouter AT</v>
      </c>
      <c r="N159" s="22" t="str">
        <f>HYPERLINK("https://www.bible.com/fr/audio-bible/152/ACT.3.S21","▶ Écouter NT")</f>
        <v>▶ Écouter NT</v>
      </c>
      <c r="O159" s="27"/>
    </row>
    <row r="160" spans="1:15" ht="27.6">
      <c r="A160" s="9">
        <v>159</v>
      </c>
      <c r="B160" s="5" t="s">
        <v>526</v>
      </c>
      <c r="C160" s="5">
        <v>23</v>
      </c>
      <c r="D160" s="4" t="s">
        <v>527</v>
      </c>
      <c r="E160" s="4" t="s">
        <v>528</v>
      </c>
      <c r="F160" s="5" t="s">
        <v>27</v>
      </c>
      <c r="G160" s="5" t="s">
        <v>19</v>
      </c>
      <c r="H160" s="5" t="s">
        <v>414</v>
      </c>
      <c r="I160" s="5" t="s">
        <v>57</v>
      </c>
      <c r="J160" s="4" t="s">
        <v>415</v>
      </c>
      <c r="K160" s="4" t="s">
        <v>23</v>
      </c>
      <c r="L160" s="10"/>
      <c r="M160" s="26" t="str">
        <f>HYPERLINK("https://www.bible.com/fr/audio-bible/152/2CH.36.S21","▶ Écouter AT")</f>
        <v>▶ Écouter AT</v>
      </c>
      <c r="N160" s="22" t="str">
        <f>HYPERLINK("https://www.bible.com/fr/audio-bible/152/MAT.21.S21","▶ Écouter NT")</f>
        <v>▶ Écouter NT</v>
      </c>
      <c r="O160" s="27"/>
    </row>
    <row r="161" spans="1:15" ht="27.6">
      <c r="A161" s="9">
        <v>160</v>
      </c>
      <c r="B161" s="5" t="s">
        <v>529</v>
      </c>
      <c r="C161" s="5">
        <v>23</v>
      </c>
      <c r="D161" s="4" t="s">
        <v>530</v>
      </c>
      <c r="E161" s="4" t="s">
        <v>487</v>
      </c>
      <c r="F161" s="5" t="s">
        <v>18</v>
      </c>
      <c r="G161" s="5" t="s">
        <v>19</v>
      </c>
      <c r="H161" s="5" t="s">
        <v>414</v>
      </c>
      <c r="I161" s="5" t="s">
        <v>57</v>
      </c>
      <c r="J161" s="4" t="s">
        <v>415</v>
      </c>
      <c r="K161" s="4" t="s">
        <v>23</v>
      </c>
      <c r="L161" s="10"/>
      <c r="M161" s="26" t="str">
        <f>HYPERLINK("https://www.bible.com/fr/audio-bible/152/EZR.2.S21","▶ Écouter AT")</f>
        <v>▶ Écouter AT</v>
      </c>
      <c r="N161" s="22" t="str">
        <f>HYPERLINK("https://www.bible.com/fr/audio-bible/152/1CO.3.S21","▶ Écouter NT")</f>
        <v>▶ Écouter NT</v>
      </c>
      <c r="O161" s="27"/>
    </row>
    <row r="162" spans="1:15" ht="27.6">
      <c r="A162" s="9">
        <v>161</v>
      </c>
      <c r="B162" s="5" t="s">
        <v>531</v>
      </c>
      <c r="C162" s="5">
        <v>23</v>
      </c>
      <c r="D162" s="4" t="s">
        <v>532</v>
      </c>
      <c r="E162" s="4" t="s">
        <v>487</v>
      </c>
      <c r="F162" s="5" t="s">
        <v>18</v>
      </c>
      <c r="G162" s="5" t="s">
        <v>19</v>
      </c>
      <c r="H162" s="5" t="s">
        <v>414</v>
      </c>
      <c r="I162" s="5" t="s">
        <v>57</v>
      </c>
      <c r="J162" s="4" t="s">
        <v>415</v>
      </c>
      <c r="K162" s="4" t="s">
        <v>23</v>
      </c>
      <c r="L162" s="10"/>
      <c r="M162" s="26" t="str">
        <f>HYPERLINK("https://www.bible.com/fr/audio-bible/152/EZR.5.S21","▶ Écouter AT")</f>
        <v>▶ Écouter AT</v>
      </c>
      <c r="N162" s="22" t="str">
        <f>HYPERLINK("https://www.bible.com/fr/audio-bible/152/1CO.3.S21","▶ Écouter NT")</f>
        <v>▶ Écouter NT</v>
      </c>
      <c r="O162" s="27"/>
    </row>
    <row r="163" spans="1:15" ht="27.6">
      <c r="A163" s="9">
        <v>162</v>
      </c>
      <c r="B163" s="5" t="s">
        <v>533</v>
      </c>
      <c r="C163" s="5">
        <v>24</v>
      </c>
      <c r="D163" s="4" t="s">
        <v>534</v>
      </c>
      <c r="E163" s="4" t="s">
        <v>535</v>
      </c>
      <c r="F163" s="5" t="s">
        <v>27</v>
      </c>
      <c r="G163" s="5" t="s">
        <v>523</v>
      </c>
      <c r="H163" s="5" t="s">
        <v>524</v>
      </c>
      <c r="I163" s="5" t="s">
        <v>40</v>
      </c>
      <c r="J163" s="4" t="s">
        <v>525</v>
      </c>
      <c r="K163" s="4" t="s">
        <v>23</v>
      </c>
      <c r="L163" s="10"/>
      <c r="M163" s="26" t="str">
        <f>HYPERLINK("https://www.bible.com/fr/audio-bible/152/EZR.7.S21","▶ Écouter AT")</f>
        <v>▶ Écouter AT</v>
      </c>
      <c r="N163" s="22" t="str">
        <f>HYPERLINK("https://www.bible.com/fr/audio-bible/152/2PE.1.S21","▶ Écouter NT")</f>
        <v>▶ Écouter NT</v>
      </c>
      <c r="O163" s="27" t="str">
        <f>HYPERLINK("https://www.bible.com/fr/audio-bible/152/ACT.3.S21","▶ Écouter miroir")</f>
        <v>▶ Écouter miroir</v>
      </c>
    </row>
    <row r="164" spans="1:15" ht="27.6">
      <c r="A164" s="9">
        <v>163</v>
      </c>
      <c r="B164" s="5" t="s">
        <v>536</v>
      </c>
      <c r="C164" s="5">
        <v>24</v>
      </c>
      <c r="D164" s="4" t="s">
        <v>537</v>
      </c>
      <c r="E164" s="4" t="s">
        <v>538</v>
      </c>
      <c r="F164" s="5" t="s">
        <v>27</v>
      </c>
      <c r="G164" s="5" t="s">
        <v>523</v>
      </c>
      <c r="H164" s="5" t="s">
        <v>524</v>
      </c>
      <c r="I164" s="5" t="s">
        <v>40</v>
      </c>
      <c r="J164" s="4" t="s">
        <v>525</v>
      </c>
      <c r="K164" s="4" t="s">
        <v>23</v>
      </c>
      <c r="L164" s="10"/>
      <c r="M164" s="26" t="str">
        <f>HYPERLINK("https://www.bible.com/fr/audio-bible/152/NEH.1.S21","▶ Écouter AT")</f>
        <v>▶ Écouter AT</v>
      </c>
      <c r="N164" s="22" t="str">
        <f>HYPERLINK("https://www.bible.com/fr/audio-bible/152/EPH.4.S21","▶ Écouter NT")</f>
        <v>▶ Écouter NT</v>
      </c>
      <c r="O164" s="27" t="str">
        <f>HYPERLINK("https://www.bible.com/fr/audio-bible/152/ACT.3.S21","▶ Écouter miroir")</f>
        <v>▶ Écouter miroir</v>
      </c>
    </row>
    <row r="165" spans="1:15" ht="27.6">
      <c r="A165" s="9">
        <v>164</v>
      </c>
      <c r="B165" s="5" t="s">
        <v>539</v>
      </c>
      <c r="C165" s="5">
        <v>24</v>
      </c>
      <c r="D165" s="4" t="s">
        <v>540</v>
      </c>
      <c r="E165" s="4" t="s">
        <v>523</v>
      </c>
      <c r="F165" s="5" t="s">
        <v>18</v>
      </c>
      <c r="G165" s="5" t="s">
        <v>19</v>
      </c>
      <c r="H165" s="5" t="s">
        <v>524</v>
      </c>
      <c r="I165" s="5" t="s">
        <v>40</v>
      </c>
      <c r="J165" s="4" t="s">
        <v>525</v>
      </c>
      <c r="K165" s="4" t="s">
        <v>23</v>
      </c>
      <c r="L165" s="10"/>
      <c r="M165" s="26" t="str">
        <f>HYPERLINK("https://www.bible.com/fr/audio-bible/152/NEH.2.S21","▶ Écouter AT")</f>
        <v>▶ Écouter AT</v>
      </c>
      <c r="N165" s="22" t="str">
        <f>HYPERLINK("https://www.bible.com/fr/audio-bible/152/ACT.3.S21","▶ Écouter NT")</f>
        <v>▶ Écouter NT</v>
      </c>
      <c r="O165" s="27"/>
    </row>
    <row r="166" spans="1:15" ht="27.6">
      <c r="A166" s="9">
        <v>165</v>
      </c>
      <c r="B166" s="5" t="s">
        <v>541</v>
      </c>
      <c r="C166" s="5">
        <v>24</v>
      </c>
      <c r="D166" s="4" t="s">
        <v>542</v>
      </c>
      <c r="E166" s="4" t="s">
        <v>543</v>
      </c>
      <c r="F166" s="5" t="s">
        <v>27</v>
      </c>
      <c r="G166" s="5" t="s">
        <v>523</v>
      </c>
      <c r="H166" s="5" t="s">
        <v>524</v>
      </c>
      <c r="I166" s="5" t="s">
        <v>40</v>
      </c>
      <c r="J166" s="4" t="s">
        <v>525</v>
      </c>
      <c r="K166" s="4" t="s">
        <v>23</v>
      </c>
      <c r="L166" s="10"/>
      <c r="M166" s="26" t="str">
        <f>HYPERLINK("https://www.bible.com/fr/audio-bible/152/NEH.5.S21","▶ Écouter AT")</f>
        <v>▶ Écouter AT</v>
      </c>
      <c r="N166" s="22" t="str">
        <f>HYPERLINK("https://www.bible.com/fr/audio-bible/152/TIT.1.S21","▶ Écouter NT")</f>
        <v>▶ Écouter NT</v>
      </c>
      <c r="O166" s="27" t="str">
        <f>HYPERLINK("https://www.bible.com/fr/audio-bible/152/ACT.3.S21","▶ Écouter miroir")</f>
        <v>▶ Écouter miroir</v>
      </c>
    </row>
    <row r="167" spans="1:15">
      <c r="A167" s="9">
        <v>166</v>
      </c>
      <c r="B167" s="5" t="s">
        <v>544</v>
      </c>
      <c r="C167" s="5">
        <v>24</v>
      </c>
      <c r="D167" s="4" t="s">
        <v>545</v>
      </c>
      <c r="E167" s="4" t="s">
        <v>546</v>
      </c>
      <c r="F167" s="5" t="s">
        <v>27</v>
      </c>
      <c r="G167" s="5" t="s">
        <v>33</v>
      </c>
      <c r="H167" s="5" t="s">
        <v>34</v>
      </c>
      <c r="I167" s="5" t="s">
        <v>18</v>
      </c>
      <c r="J167" s="4" t="s">
        <v>35</v>
      </c>
      <c r="K167" s="4" t="s">
        <v>23</v>
      </c>
      <c r="L167" s="10"/>
      <c r="M167" s="26" t="str">
        <f>HYPERLINK("https://www.bible.com/fr/audio-bible/152/NEH.7.S21","▶ Écouter AT")</f>
        <v>▶ Écouter AT</v>
      </c>
      <c r="N167" s="22" t="str">
        <f>HYPERLINK("https://www.bible.com/fr/audio-bible/152/1TI.4.S21","▶ Écouter NT")</f>
        <v>▶ Écouter NT</v>
      </c>
      <c r="O167" s="27" t="str">
        <f>HYPERLINK("https://www.bible.com/fr/audio-bible/152/HEB.8.S21","▶ Écouter miroir")</f>
        <v>▶ Écouter miroir</v>
      </c>
    </row>
    <row r="168" spans="1:15">
      <c r="A168" s="9">
        <v>167</v>
      </c>
      <c r="B168" s="5" t="s">
        <v>547</v>
      </c>
      <c r="C168" s="5">
        <v>24</v>
      </c>
      <c r="D168" s="4" t="s">
        <v>548</v>
      </c>
      <c r="E168" s="4" t="s">
        <v>549</v>
      </c>
      <c r="F168" s="5" t="s">
        <v>27</v>
      </c>
      <c r="G168" s="5" t="s">
        <v>19</v>
      </c>
      <c r="H168" s="5" t="s">
        <v>34</v>
      </c>
      <c r="I168" s="5" t="s">
        <v>18</v>
      </c>
      <c r="J168" s="4" t="s">
        <v>35</v>
      </c>
      <c r="K168" s="4" t="s">
        <v>23</v>
      </c>
      <c r="L168" s="10"/>
      <c r="M168" s="26" t="str">
        <f>HYPERLINK("https://www.bible.com/fr/audio-bible/152/NEH.10.S21","▶ Écouter AT")</f>
        <v>▶ Écouter AT</v>
      </c>
      <c r="N168" s="22" t="str">
        <f>HYPERLINK("https://www.bible.com/fr/audio-bible/152/COL.2.S21","▶ Écouter NT")</f>
        <v>▶ Écouter NT</v>
      </c>
      <c r="O168" s="27"/>
    </row>
    <row r="169" spans="1:15">
      <c r="A169" s="9">
        <v>168</v>
      </c>
      <c r="B169" s="5" t="s">
        <v>550</v>
      </c>
      <c r="C169" s="5">
        <v>24</v>
      </c>
      <c r="D169" s="4" t="s">
        <v>551</v>
      </c>
      <c r="E169" s="4" t="s">
        <v>552</v>
      </c>
      <c r="F169" s="5" t="s">
        <v>27</v>
      </c>
      <c r="G169" s="5" t="s">
        <v>165</v>
      </c>
      <c r="H169" s="5" t="s">
        <v>166</v>
      </c>
      <c r="I169" s="5" t="s">
        <v>89</v>
      </c>
      <c r="J169" s="4" t="s">
        <v>167</v>
      </c>
      <c r="K169" s="4" t="s">
        <v>23</v>
      </c>
      <c r="L169" s="10"/>
      <c r="M169" s="26" t="str">
        <f>HYPERLINK("https://www.bible.com/fr/audio-bible/152/NEH.13.S21","▶ Écouter AT")</f>
        <v>▶ Écouter AT</v>
      </c>
      <c r="N169" s="22" t="str">
        <f>HYPERLINK("https://www.bible.com/fr/audio-bible/152/1JN.3.S21","▶ Écouter NT")</f>
        <v>▶ Écouter NT</v>
      </c>
      <c r="O169" s="27" t="str">
        <f>HYPERLINK("https://www.bible.com/fr/audio-bible/152/1PE.1.S21","▶ Écouter miroir")</f>
        <v>▶ Écouter miroir</v>
      </c>
    </row>
    <row r="170" spans="1:15" ht="27.6">
      <c r="A170" s="9">
        <v>169</v>
      </c>
      <c r="B170" s="5" t="s">
        <v>553</v>
      </c>
      <c r="C170" s="5">
        <v>25</v>
      </c>
      <c r="D170" s="4" t="s">
        <v>554</v>
      </c>
      <c r="E170" s="4" t="s">
        <v>555</v>
      </c>
      <c r="F170" s="5" t="s">
        <v>27</v>
      </c>
      <c r="G170" s="5" t="s">
        <v>556</v>
      </c>
      <c r="H170" s="5" t="s">
        <v>557</v>
      </c>
      <c r="I170" s="5" t="s">
        <v>18</v>
      </c>
      <c r="J170" s="4" t="s">
        <v>558</v>
      </c>
      <c r="K170" s="4" t="s">
        <v>23</v>
      </c>
      <c r="L170" s="10"/>
      <c r="M170" s="26" t="str">
        <f>HYPERLINK("https://www.bible.com/fr/audio-bible/152/EST.2.S21","▶ Écouter AT")</f>
        <v>▶ Écouter AT</v>
      </c>
      <c r="N170" s="22" t="str">
        <f>HYPERLINK("https://www.bible.com/fr/audio-bible/152/ACT.11.S21","▶ Écouter NT")</f>
        <v>▶ Écouter NT</v>
      </c>
      <c r="O170" s="27" t="str">
        <f>HYPERLINK("https://www.bible.com/fr/audio-bible/152/ROM.8.S21","▶ Écouter miroir")</f>
        <v>▶ Écouter miroir</v>
      </c>
    </row>
    <row r="171" spans="1:15" ht="27.6">
      <c r="A171" s="9">
        <v>170</v>
      </c>
      <c r="B171" s="5" t="s">
        <v>559</v>
      </c>
      <c r="C171" s="5">
        <v>25</v>
      </c>
      <c r="D171" s="4" t="s">
        <v>560</v>
      </c>
      <c r="E171" s="4" t="s">
        <v>561</v>
      </c>
      <c r="F171" s="5" t="s">
        <v>27</v>
      </c>
      <c r="G171" s="5" t="s">
        <v>556</v>
      </c>
      <c r="H171" s="5" t="s">
        <v>557</v>
      </c>
      <c r="I171" s="5" t="s">
        <v>18</v>
      </c>
      <c r="J171" s="4" t="s">
        <v>558</v>
      </c>
      <c r="K171" s="4" t="s">
        <v>23</v>
      </c>
      <c r="L171" s="10"/>
      <c r="M171" s="26" t="str">
        <f>HYPERLINK("https://www.bible.com/fr/audio-bible/152/EST.5.S21","▶ Écouter AT")</f>
        <v>▶ Écouter AT</v>
      </c>
      <c r="N171" s="22" t="str">
        <f>HYPERLINK("https://www.bible.com/fr/audio-bible/152/ACT.12.S21","▶ Écouter NT")</f>
        <v>▶ Écouter NT</v>
      </c>
      <c r="O171" s="27" t="str">
        <f>HYPERLINK("https://www.bible.com/fr/audio-bible/152/ROM.8.S21","▶ Écouter miroir")</f>
        <v>▶ Écouter miroir</v>
      </c>
    </row>
    <row r="172" spans="1:15" ht="27.6">
      <c r="A172" s="9">
        <v>171</v>
      </c>
      <c r="B172" s="5" t="s">
        <v>562</v>
      </c>
      <c r="C172" s="5">
        <v>25</v>
      </c>
      <c r="D172" s="4" t="s">
        <v>563</v>
      </c>
      <c r="E172" s="4" t="s">
        <v>556</v>
      </c>
      <c r="F172" s="5" t="s">
        <v>18</v>
      </c>
      <c r="G172" s="5" t="s">
        <v>19</v>
      </c>
      <c r="H172" s="5" t="s">
        <v>557</v>
      </c>
      <c r="I172" s="5" t="s">
        <v>18</v>
      </c>
      <c r="J172" s="4" t="s">
        <v>558</v>
      </c>
      <c r="K172" s="4" t="s">
        <v>23</v>
      </c>
      <c r="L172" s="10"/>
      <c r="M172" s="26" t="str">
        <f>HYPERLINK("https://www.bible.com/fr/audio-bible/152/EST.7.S21","▶ Écouter AT")</f>
        <v>▶ Écouter AT</v>
      </c>
      <c r="N172" s="22" t="str">
        <f>HYPERLINK("https://www.bible.com/fr/audio-bible/152/ROM.8.S21","▶ Écouter NT")</f>
        <v>▶ Écouter NT</v>
      </c>
      <c r="O172" s="27"/>
    </row>
    <row r="173" spans="1:15" ht="27.6">
      <c r="A173" s="9">
        <v>172</v>
      </c>
      <c r="B173" s="5" t="s">
        <v>564</v>
      </c>
      <c r="C173" s="5">
        <v>25</v>
      </c>
      <c r="D173" s="4" t="s">
        <v>565</v>
      </c>
      <c r="E173" s="4" t="s">
        <v>566</v>
      </c>
      <c r="F173" s="5" t="s">
        <v>27</v>
      </c>
      <c r="G173" s="5" t="s">
        <v>295</v>
      </c>
      <c r="H173" s="5" t="s">
        <v>296</v>
      </c>
      <c r="I173" s="5" t="s">
        <v>18</v>
      </c>
      <c r="J173" s="4" t="s">
        <v>297</v>
      </c>
      <c r="K173" s="4" t="s">
        <v>23</v>
      </c>
      <c r="L173" s="10"/>
      <c r="M173" s="26" t="str">
        <f>HYPERLINK("https://www.bible.com/fr/audio-bible/152/EST.10.S21","▶ Écouter AT")</f>
        <v>▶ Écouter AT</v>
      </c>
      <c r="N173" s="22" t="str">
        <f>HYPERLINK("https://www.bible.com/fr/audio-bible/152/ACT.22.S21","▶ Écouter NT")</f>
        <v>▶ Écouter NT</v>
      </c>
      <c r="O173" s="27" t="str">
        <f>HYPERLINK("https://www.bible.com/fr/audio-bible/152/HEB.11.S21","▶ Écouter miroir")</f>
        <v>▶ Écouter miroir</v>
      </c>
    </row>
    <row r="174" spans="1:15">
      <c r="A174" s="9">
        <v>173</v>
      </c>
      <c r="B174" s="5" t="s">
        <v>567</v>
      </c>
      <c r="C174" s="5">
        <v>25</v>
      </c>
      <c r="D174" s="4" t="s">
        <v>568</v>
      </c>
      <c r="E174" s="4" t="s">
        <v>569</v>
      </c>
      <c r="F174" s="5" t="s">
        <v>27</v>
      </c>
      <c r="G174" s="5" t="s">
        <v>267</v>
      </c>
      <c r="H174" s="5" t="s">
        <v>226</v>
      </c>
      <c r="I174" s="5" t="s">
        <v>89</v>
      </c>
      <c r="J174" s="4" t="s">
        <v>227</v>
      </c>
      <c r="K174" s="4" t="s">
        <v>23</v>
      </c>
      <c r="L174" s="10"/>
      <c r="M174" s="26" t="str">
        <f>HYPERLINK("https://www.bible.com/fr/audio-bible/152/JOB.2.S21","▶ Écouter AT")</f>
        <v>▶ Écouter AT</v>
      </c>
      <c r="N174" s="22" t="str">
        <f>HYPERLINK("https://www.bible.com/fr/audio-bible/152/ACT.27.S21","▶ Écouter NT")</f>
        <v>▶ Écouter NT</v>
      </c>
      <c r="O174" s="27" t="str">
        <f>HYPERLINK("https://www.bible.com/fr/audio-bible/152/JAS.2.S21","▶ Écouter miroir")</f>
        <v>▶ Écouter miroir</v>
      </c>
    </row>
    <row r="175" spans="1:15">
      <c r="A175" s="9">
        <v>174</v>
      </c>
      <c r="B175" s="5" t="s">
        <v>570</v>
      </c>
      <c r="C175" s="5">
        <v>25</v>
      </c>
      <c r="D175" s="4" t="s">
        <v>571</v>
      </c>
      <c r="E175" s="4" t="s">
        <v>572</v>
      </c>
      <c r="F175" s="5" t="s">
        <v>27</v>
      </c>
      <c r="G175" s="5" t="s">
        <v>267</v>
      </c>
      <c r="H175" s="5" t="s">
        <v>226</v>
      </c>
      <c r="I175" s="5" t="s">
        <v>89</v>
      </c>
      <c r="J175" s="4" t="s">
        <v>227</v>
      </c>
      <c r="K175" s="4" t="s">
        <v>23</v>
      </c>
      <c r="L175" s="10"/>
      <c r="M175" s="26" t="str">
        <f>HYPERLINK("https://www.bible.com/fr/audio-bible/152/JOB.5.S21","▶ Écouter AT")</f>
        <v>▶ Écouter AT</v>
      </c>
      <c r="N175" s="22" t="str">
        <f>HYPERLINK("https://www.bible.com/fr/audio-bible/152/ACT.28.S21","▶ Écouter NT")</f>
        <v>▶ Écouter NT</v>
      </c>
      <c r="O175" s="27" t="str">
        <f>HYPERLINK("https://www.bible.com/fr/audio-bible/152/JAS.2.S21","▶ Écouter miroir")</f>
        <v>▶ Écouter miroir</v>
      </c>
    </row>
    <row r="176" spans="1:15">
      <c r="A176" s="9">
        <v>175</v>
      </c>
      <c r="B176" s="5" t="s">
        <v>573</v>
      </c>
      <c r="C176" s="5">
        <v>25</v>
      </c>
      <c r="D176" s="4" t="s">
        <v>574</v>
      </c>
      <c r="E176" s="4" t="s">
        <v>267</v>
      </c>
      <c r="F176" s="5" t="s">
        <v>18</v>
      </c>
      <c r="G176" s="5" t="s">
        <v>19</v>
      </c>
      <c r="H176" s="5" t="s">
        <v>226</v>
      </c>
      <c r="I176" s="5" t="s">
        <v>89</v>
      </c>
      <c r="J176" s="4" t="s">
        <v>227</v>
      </c>
      <c r="K176" s="4" t="s">
        <v>23</v>
      </c>
      <c r="L176" s="10"/>
      <c r="M176" s="26" t="str">
        <f>HYPERLINK("https://www.bible.com/fr/audio-bible/152/JOB.7.S21","▶ Écouter AT")</f>
        <v>▶ Écouter AT</v>
      </c>
      <c r="N176" s="22" t="str">
        <f>HYPERLINK("https://www.bible.com/fr/audio-bible/152/JAS.2.S21","▶ Écouter NT")</f>
        <v>▶ Écouter NT</v>
      </c>
      <c r="O176" s="27"/>
    </row>
    <row r="177" spans="1:15">
      <c r="A177" s="9">
        <v>176</v>
      </c>
      <c r="B177" s="5" t="s">
        <v>575</v>
      </c>
      <c r="C177" s="5">
        <v>26</v>
      </c>
      <c r="D177" s="4" t="s">
        <v>576</v>
      </c>
      <c r="E177" s="4" t="s">
        <v>267</v>
      </c>
      <c r="F177" s="5" t="s">
        <v>18</v>
      </c>
      <c r="G177" s="5" t="s">
        <v>19</v>
      </c>
      <c r="H177" s="5" t="s">
        <v>226</v>
      </c>
      <c r="I177" s="5" t="s">
        <v>89</v>
      </c>
      <c r="J177" s="4" t="s">
        <v>227</v>
      </c>
      <c r="K177" s="4" t="s">
        <v>23</v>
      </c>
      <c r="L177" s="10"/>
      <c r="M177" s="26" t="str">
        <f>HYPERLINK("https://www.bible.com/fr/audio-bible/152/JOB.10.S21","▶ Écouter AT")</f>
        <v>▶ Écouter AT</v>
      </c>
      <c r="N177" s="22" t="str">
        <f>HYPERLINK("https://www.bible.com/fr/audio-bible/152/JAS.2.S21","▶ Écouter NT")</f>
        <v>▶ Écouter NT</v>
      </c>
      <c r="O177" s="27"/>
    </row>
    <row r="178" spans="1:15">
      <c r="A178" s="9">
        <v>177</v>
      </c>
      <c r="B178" s="5" t="s">
        <v>577</v>
      </c>
      <c r="C178" s="5">
        <v>26</v>
      </c>
      <c r="D178" s="4" t="s">
        <v>578</v>
      </c>
      <c r="E178" s="4" t="s">
        <v>267</v>
      </c>
      <c r="F178" s="5" t="s">
        <v>18</v>
      </c>
      <c r="G178" s="5" t="s">
        <v>19</v>
      </c>
      <c r="H178" s="5" t="s">
        <v>226</v>
      </c>
      <c r="I178" s="5" t="s">
        <v>89</v>
      </c>
      <c r="J178" s="4" t="s">
        <v>227</v>
      </c>
      <c r="K178" s="4" t="s">
        <v>23</v>
      </c>
      <c r="L178" s="10"/>
      <c r="M178" s="26" t="str">
        <f>HYPERLINK("https://www.bible.com/fr/audio-bible/152/JOB.12.S21","▶ Écouter AT")</f>
        <v>▶ Écouter AT</v>
      </c>
      <c r="N178" s="22" t="str">
        <f>HYPERLINK("https://www.bible.com/fr/audio-bible/152/JAS.2.S21","▶ Écouter NT")</f>
        <v>▶ Écouter NT</v>
      </c>
      <c r="O178" s="27"/>
    </row>
    <row r="179" spans="1:15">
      <c r="A179" s="9">
        <v>178</v>
      </c>
      <c r="B179" s="5" t="s">
        <v>579</v>
      </c>
      <c r="C179" s="5">
        <v>26</v>
      </c>
      <c r="D179" s="4" t="s">
        <v>580</v>
      </c>
      <c r="E179" s="4" t="s">
        <v>581</v>
      </c>
      <c r="F179" s="5" t="s">
        <v>27</v>
      </c>
      <c r="G179" s="5" t="s">
        <v>19</v>
      </c>
      <c r="H179" s="5" t="s">
        <v>226</v>
      </c>
      <c r="I179" s="5" t="s">
        <v>89</v>
      </c>
      <c r="J179" s="4" t="s">
        <v>227</v>
      </c>
      <c r="K179" s="4" t="s">
        <v>23</v>
      </c>
      <c r="L179" s="10"/>
      <c r="M179" s="26" t="str">
        <f>HYPERLINK("https://www.bible.com/fr/audio-bible/152/JOB.15.S21","▶ Écouter AT")</f>
        <v>▶ Écouter AT</v>
      </c>
      <c r="N179" s="22" t="str">
        <f>HYPERLINK("https://www.bible.com/fr/audio-bible/152/LUK.16.S21","▶ Écouter NT")</f>
        <v>▶ Écouter NT</v>
      </c>
      <c r="O179" s="27"/>
    </row>
    <row r="180" spans="1:15">
      <c r="A180" s="9">
        <v>179</v>
      </c>
      <c r="B180" s="5" t="s">
        <v>582</v>
      </c>
      <c r="C180" s="5">
        <v>26</v>
      </c>
      <c r="D180" s="4" t="s">
        <v>583</v>
      </c>
      <c r="E180" s="4" t="s">
        <v>584</v>
      </c>
      <c r="F180" s="5" t="s">
        <v>27</v>
      </c>
      <c r="G180" s="5" t="s">
        <v>19</v>
      </c>
      <c r="H180" s="5" t="s">
        <v>226</v>
      </c>
      <c r="I180" s="5" t="s">
        <v>89</v>
      </c>
      <c r="J180" s="4" t="s">
        <v>227</v>
      </c>
      <c r="K180" s="4" t="s">
        <v>23</v>
      </c>
      <c r="L180" s="10"/>
      <c r="M180" s="26" t="str">
        <f>HYPERLINK("https://www.bible.com/fr/audio-bible/152/JOB.18.S21","▶ Écouter AT")</f>
        <v>▶ Écouter AT</v>
      </c>
      <c r="N180" s="22" t="str">
        <f>HYPERLINK("https://www.bible.com/fr/audio-bible/152/LUK.17.S21","▶ Écouter NT")</f>
        <v>▶ Écouter NT</v>
      </c>
      <c r="O180" s="27"/>
    </row>
    <row r="181" spans="1:15">
      <c r="A181" s="9">
        <v>180</v>
      </c>
      <c r="B181" s="5" t="s">
        <v>585</v>
      </c>
      <c r="C181" s="5">
        <v>26</v>
      </c>
      <c r="D181" s="4" t="s">
        <v>586</v>
      </c>
      <c r="E181" s="4" t="s">
        <v>587</v>
      </c>
      <c r="F181" s="5" t="s">
        <v>27</v>
      </c>
      <c r="G181" s="5" t="s">
        <v>267</v>
      </c>
      <c r="H181" s="5" t="s">
        <v>226</v>
      </c>
      <c r="I181" s="5" t="s">
        <v>89</v>
      </c>
      <c r="J181" s="4" t="s">
        <v>227</v>
      </c>
      <c r="K181" s="4" t="s">
        <v>23</v>
      </c>
      <c r="L181" s="10"/>
      <c r="M181" s="26" t="str">
        <f>HYPERLINK("https://www.bible.com/fr/audio-bible/152/JOB.20.S21","▶ Écouter AT")</f>
        <v>▶ Écouter AT</v>
      </c>
      <c r="N181" s="22" t="str">
        <f>HYPERLINK("https://www.bible.com/fr/audio-bible/152/PHP.3.S21","▶ Écouter NT")</f>
        <v>▶ Écouter NT</v>
      </c>
      <c r="O181" s="27" t="str">
        <f>HYPERLINK("https://www.bible.com/fr/audio-bible/152/JAS.2.S21","▶ Écouter miroir")</f>
        <v>▶ Écouter miroir</v>
      </c>
    </row>
    <row r="182" spans="1:15">
      <c r="A182" s="9">
        <v>181</v>
      </c>
      <c r="B182" s="5" t="s">
        <v>588</v>
      </c>
      <c r="C182" s="5">
        <v>26</v>
      </c>
      <c r="D182" s="4" t="s">
        <v>589</v>
      </c>
      <c r="E182" s="4" t="s">
        <v>590</v>
      </c>
      <c r="F182" s="5" t="s">
        <v>27</v>
      </c>
      <c r="G182" s="5" t="s">
        <v>267</v>
      </c>
      <c r="H182" s="5" t="s">
        <v>226</v>
      </c>
      <c r="I182" s="5" t="s">
        <v>89</v>
      </c>
      <c r="J182" s="4" t="s">
        <v>227</v>
      </c>
      <c r="K182" s="4" t="s">
        <v>23</v>
      </c>
      <c r="L182" s="10"/>
      <c r="M182" s="26" t="str">
        <f>HYPERLINK("https://www.bible.com/fr/audio-bible/152/JOB.23.S21","▶ Écouter AT")</f>
        <v>▶ Écouter AT</v>
      </c>
      <c r="N182" s="22" t="str">
        <f>HYPERLINK("https://www.bible.com/fr/audio-bible/152/2CO.2.S21","▶ Écouter NT")</f>
        <v>▶ Écouter NT</v>
      </c>
      <c r="O182" s="27" t="str">
        <f>HYPERLINK("https://www.bible.com/fr/audio-bible/152/JAS.2.S21","▶ Écouter miroir")</f>
        <v>▶ Écouter miroir</v>
      </c>
    </row>
    <row r="183" spans="1:15">
      <c r="A183" s="9">
        <v>182</v>
      </c>
      <c r="B183" s="5" t="s">
        <v>591</v>
      </c>
      <c r="C183" s="5">
        <v>26</v>
      </c>
      <c r="D183" s="4" t="s">
        <v>592</v>
      </c>
      <c r="E183" s="4" t="s">
        <v>593</v>
      </c>
      <c r="F183" s="5" t="s">
        <v>27</v>
      </c>
      <c r="G183" s="5" t="s">
        <v>267</v>
      </c>
      <c r="H183" s="5" t="s">
        <v>226</v>
      </c>
      <c r="I183" s="5" t="s">
        <v>89</v>
      </c>
      <c r="J183" s="4" t="s">
        <v>227</v>
      </c>
      <c r="K183" s="4" t="s">
        <v>23</v>
      </c>
      <c r="L183" s="10"/>
      <c r="M183" s="26" t="str">
        <f>HYPERLINK("https://www.bible.com/fr/audio-bible/152/JOB.25.S21","▶ Écouter AT")</f>
        <v>▶ Écouter AT</v>
      </c>
      <c r="N183" s="22" t="str">
        <f>HYPERLINK("https://www.bible.com/fr/audio-bible/152/2CO.1.S21","▶ Écouter NT")</f>
        <v>▶ Écouter NT</v>
      </c>
      <c r="O183" s="27" t="str">
        <f>HYPERLINK("https://www.bible.com/fr/audio-bible/152/JAS.2.S21","▶ Écouter miroir")</f>
        <v>▶ Écouter miroir</v>
      </c>
    </row>
    <row r="184" spans="1:15">
      <c r="A184" s="9">
        <v>183</v>
      </c>
      <c r="B184" s="5" t="s">
        <v>594</v>
      </c>
      <c r="C184" s="5">
        <v>27</v>
      </c>
      <c r="D184" s="4" t="s">
        <v>595</v>
      </c>
      <c r="E184" s="4" t="s">
        <v>596</v>
      </c>
      <c r="F184" s="5" t="s">
        <v>27</v>
      </c>
      <c r="G184" s="5" t="s">
        <v>267</v>
      </c>
      <c r="H184" s="5" t="s">
        <v>226</v>
      </c>
      <c r="I184" s="5" t="s">
        <v>89</v>
      </c>
      <c r="J184" s="4" t="s">
        <v>227</v>
      </c>
      <c r="K184" s="4" t="s">
        <v>23</v>
      </c>
      <c r="L184" s="10"/>
      <c r="M184" s="26" t="str">
        <f>HYPERLINK("https://www.bible.com/fr/audio-bible/152/JOB.28.S21","▶ Écouter AT")</f>
        <v>▶ Écouter AT</v>
      </c>
      <c r="N184" s="22" t="str">
        <f>HYPERLINK("https://www.bible.com/fr/audio-bible/152/2TI.2.S21","▶ Écouter NT")</f>
        <v>▶ Écouter NT</v>
      </c>
      <c r="O184" s="27" t="str">
        <f>HYPERLINK("https://www.bible.com/fr/audio-bible/152/JAS.2.S21","▶ Écouter miroir")</f>
        <v>▶ Écouter miroir</v>
      </c>
    </row>
    <row r="185" spans="1:15">
      <c r="A185" s="9">
        <v>184</v>
      </c>
      <c r="B185" s="5" t="s">
        <v>597</v>
      </c>
      <c r="C185" s="5">
        <v>27</v>
      </c>
      <c r="D185" s="4" t="s">
        <v>598</v>
      </c>
      <c r="E185" s="4" t="s">
        <v>599</v>
      </c>
      <c r="F185" s="5" t="s">
        <v>27</v>
      </c>
      <c r="G185" s="5" t="s">
        <v>267</v>
      </c>
      <c r="H185" s="5" t="s">
        <v>226</v>
      </c>
      <c r="I185" s="5" t="s">
        <v>89</v>
      </c>
      <c r="J185" s="4" t="s">
        <v>227</v>
      </c>
      <c r="K185" s="4" t="s">
        <v>23</v>
      </c>
      <c r="L185" s="10"/>
      <c r="M185" s="26" t="str">
        <f>HYPERLINK("https://www.bible.com/fr/audio-bible/152/JOB.30.S21","▶ Écouter AT")</f>
        <v>▶ Écouter AT</v>
      </c>
      <c r="N185" s="22" t="str">
        <f>HYPERLINK("https://www.bible.com/fr/audio-bible/152/1PE.5.S21","▶ Écouter NT")</f>
        <v>▶ Écouter NT</v>
      </c>
      <c r="O185" s="27" t="str">
        <f>HYPERLINK("https://www.bible.com/fr/audio-bible/152/JAS.2.S21","▶ Écouter miroir")</f>
        <v>▶ Écouter miroir</v>
      </c>
    </row>
    <row r="186" spans="1:15" ht="27.6">
      <c r="A186" s="9">
        <v>185</v>
      </c>
      <c r="B186" s="5" t="s">
        <v>600</v>
      </c>
      <c r="C186" s="5">
        <v>27</v>
      </c>
      <c r="D186" s="4" t="s">
        <v>601</v>
      </c>
      <c r="E186" s="4" t="s">
        <v>602</v>
      </c>
      <c r="F186" s="5" t="s">
        <v>27</v>
      </c>
      <c r="G186" s="5" t="s">
        <v>603</v>
      </c>
      <c r="H186" s="5" t="s">
        <v>604</v>
      </c>
      <c r="I186" s="5" t="s">
        <v>89</v>
      </c>
      <c r="J186" s="4" t="s">
        <v>605</v>
      </c>
      <c r="K186" s="4" t="s">
        <v>23</v>
      </c>
      <c r="L186" s="10"/>
      <c r="M186" s="26" t="str">
        <f>HYPERLINK("https://www.bible.com/fr/audio-bible/152/JOB.33.S21","▶ Écouter AT")</f>
        <v>▶ Écouter AT</v>
      </c>
      <c r="N186" s="22" t="str">
        <f>HYPERLINK("https://www.bible.com/fr/audio-bible/152/1CO.2.S21","▶ Écouter NT")</f>
        <v>▶ Écouter NT</v>
      </c>
      <c r="O186" s="27" t="str">
        <f>HYPERLINK("https://www.bible.com/fr/audio-bible/152/1CO.1.S21","▶ Écouter miroir")</f>
        <v>▶ Écouter miroir</v>
      </c>
    </row>
    <row r="187" spans="1:15" ht="27.6">
      <c r="A187" s="9">
        <v>186</v>
      </c>
      <c r="B187" s="5" t="s">
        <v>606</v>
      </c>
      <c r="C187" s="5">
        <v>27</v>
      </c>
      <c r="D187" s="4" t="s">
        <v>607</v>
      </c>
      <c r="E187" s="4" t="s">
        <v>608</v>
      </c>
      <c r="F187" s="5" t="s">
        <v>27</v>
      </c>
      <c r="G187" s="5" t="s">
        <v>603</v>
      </c>
      <c r="H187" s="5" t="s">
        <v>604</v>
      </c>
      <c r="I187" s="5" t="s">
        <v>89</v>
      </c>
      <c r="J187" s="4" t="s">
        <v>605</v>
      </c>
      <c r="K187" s="4" t="s">
        <v>23</v>
      </c>
      <c r="L187" s="10"/>
      <c r="M187" s="26" t="str">
        <f>HYPERLINK("https://www.bible.com/fr/audio-bible/152/JOB.35.S21","▶ Écouter AT")</f>
        <v>▶ Écouter AT</v>
      </c>
      <c r="N187" s="22" t="str">
        <f>HYPERLINK("https://www.bible.com/fr/audio-bible/152/1CO.1.S21","▶ Écouter NT")</f>
        <v>▶ Écouter NT</v>
      </c>
      <c r="O187" s="27" t="str">
        <f>HYPERLINK("https://www.bible.com/fr/audio-bible/152/1CO.1.S21","▶ Écouter miroir")</f>
        <v>▶ Écouter miroir</v>
      </c>
    </row>
    <row r="188" spans="1:15" ht="27.6">
      <c r="A188" s="9">
        <v>187</v>
      </c>
      <c r="B188" s="5" t="s">
        <v>609</v>
      </c>
      <c r="C188" s="5">
        <v>27</v>
      </c>
      <c r="D188" s="4" t="s">
        <v>610</v>
      </c>
      <c r="E188" s="4" t="s">
        <v>611</v>
      </c>
      <c r="F188" s="5" t="s">
        <v>27</v>
      </c>
      <c r="G188" s="5" t="s">
        <v>17</v>
      </c>
      <c r="H188" s="5" t="s">
        <v>20</v>
      </c>
      <c r="I188" s="5" t="s">
        <v>21</v>
      </c>
      <c r="J188" s="4" t="s">
        <v>22</v>
      </c>
      <c r="K188" s="4" t="s">
        <v>23</v>
      </c>
      <c r="L188" s="10"/>
      <c r="M188" s="26" t="str">
        <f>HYPERLINK("https://www.bible.com/fr/audio-bible/152/JOB.38.S21","▶ Écouter AT")</f>
        <v>▶ Écouter AT</v>
      </c>
      <c r="N188" s="22" t="str">
        <f>HYPERLINK("https://www.bible.com/fr/audio-bible/152/ROM.8.S21","▶ Écouter NT")</f>
        <v>▶ Écouter NT</v>
      </c>
      <c r="O188" s="27" t="str">
        <f>HYPERLINK("https://www.bible.com/fr/audio-bible/152/JHN.1.S21","▶ Écouter miroir")</f>
        <v>▶ Écouter miroir</v>
      </c>
    </row>
    <row r="189" spans="1:15" ht="27.6">
      <c r="A189" s="9">
        <v>188</v>
      </c>
      <c r="B189" s="5" t="s">
        <v>612</v>
      </c>
      <c r="C189" s="5">
        <v>27</v>
      </c>
      <c r="D189" s="4" t="s">
        <v>613</v>
      </c>
      <c r="E189" s="4" t="s">
        <v>614</v>
      </c>
      <c r="F189" s="5" t="s">
        <v>27</v>
      </c>
      <c r="G189" s="5" t="s">
        <v>17</v>
      </c>
      <c r="H189" s="5" t="s">
        <v>20</v>
      </c>
      <c r="I189" s="5" t="s">
        <v>21</v>
      </c>
      <c r="J189" s="4" t="s">
        <v>22</v>
      </c>
      <c r="K189" s="4" t="s">
        <v>23</v>
      </c>
      <c r="L189" s="10"/>
      <c r="M189" s="26" t="str">
        <f>HYPERLINK("https://www.bible.com/fr/audio-bible/152/JOB.40.S21","▶ Écouter AT")</f>
        <v>▶ Écouter AT</v>
      </c>
      <c r="N189" s="22" t="str">
        <f>HYPERLINK("https://www.bible.com/fr/audio-bible/152/LUK.12.S21","▶ Écouter NT")</f>
        <v>▶ Écouter NT</v>
      </c>
      <c r="O189" s="27" t="str">
        <f>HYPERLINK("https://www.bible.com/fr/audio-bible/152/JHN.1.S21","▶ Écouter miroir")</f>
        <v>▶ Écouter miroir</v>
      </c>
    </row>
    <row r="190" spans="1:15">
      <c r="A190" s="9">
        <v>189</v>
      </c>
      <c r="B190" s="5" t="s">
        <v>615</v>
      </c>
      <c r="C190" s="5">
        <v>27</v>
      </c>
      <c r="D190" s="4" t="s">
        <v>616</v>
      </c>
      <c r="E190" s="4" t="s">
        <v>617</v>
      </c>
      <c r="F190" s="5" t="s">
        <v>27</v>
      </c>
      <c r="G190" s="5" t="s">
        <v>19</v>
      </c>
      <c r="H190" s="5" t="s">
        <v>211</v>
      </c>
      <c r="I190" s="5" t="s">
        <v>212</v>
      </c>
      <c r="J190" s="4" t="s">
        <v>213</v>
      </c>
      <c r="K190" s="4" t="s">
        <v>23</v>
      </c>
      <c r="L190" s="10"/>
      <c r="M190" s="26" t="str">
        <f>HYPERLINK("https://www.bible.com/fr/audio-bible/152/PSA.1.S21","▶ Écouter AT")</f>
        <v>▶ Écouter AT</v>
      </c>
      <c r="N190" s="22" t="str">
        <f>HYPERLINK("https://www.bible.com/fr/audio-bible/152/MRK.7.S21","▶ Écouter NT")</f>
        <v>▶ Écouter NT</v>
      </c>
      <c r="O190" s="27"/>
    </row>
    <row r="191" spans="1:15">
      <c r="A191" s="9">
        <v>190</v>
      </c>
      <c r="B191" s="5" t="s">
        <v>618</v>
      </c>
      <c r="C191" s="5">
        <v>28</v>
      </c>
      <c r="D191" s="4" t="s">
        <v>619</v>
      </c>
      <c r="E191" s="4" t="s">
        <v>253</v>
      </c>
      <c r="F191" s="5" t="s">
        <v>18</v>
      </c>
      <c r="G191" s="5" t="s">
        <v>19</v>
      </c>
      <c r="H191" s="5" t="s">
        <v>254</v>
      </c>
      <c r="I191" s="5" t="s">
        <v>57</v>
      </c>
      <c r="J191" s="4" t="s">
        <v>255</v>
      </c>
      <c r="K191" s="4" t="s">
        <v>23</v>
      </c>
      <c r="L191" s="10"/>
      <c r="M191" s="26" t="str">
        <f>HYPERLINK("https://www.bible.com/fr/audio-bible/152/PSA.4.S21","▶ Écouter AT")</f>
        <v>▶ Écouter AT</v>
      </c>
      <c r="N191" s="22" t="str">
        <f>HYPERLINK("https://www.bible.com/fr/audio-bible/152/LUK.1.S21","▶ Écouter NT")</f>
        <v>▶ Écouter NT</v>
      </c>
      <c r="O191" s="27"/>
    </row>
    <row r="192" spans="1:15">
      <c r="A192" s="9">
        <v>191</v>
      </c>
      <c r="B192" s="5" t="s">
        <v>620</v>
      </c>
      <c r="C192" s="5">
        <v>28</v>
      </c>
      <c r="D192" s="4" t="s">
        <v>621</v>
      </c>
      <c r="E192" s="4" t="s">
        <v>253</v>
      </c>
      <c r="F192" s="5" t="s">
        <v>18</v>
      </c>
      <c r="G192" s="5" t="s">
        <v>19</v>
      </c>
      <c r="H192" s="5" t="s">
        <v>254</v>
      </c>
      <c r="I192" s="5" t="s">
        <v>57</v>
      </c>
      <c r="J192" s="4" t="s">
        <v>255</v>
      </c>
      <c r="K192" s="4" t="s">
        <v>23</v>
      </c>
      <c r="L192" s="10"/>
      <c r="M192" s="26" t="str">
        <f>HYPERLINK("https://www.bible.com/fr/audio-bible/152/PSA.6.S21","▶ Écouter AT")</f>
        <v>▶ Écouter AT</v>
      </c>
      <c r="N192" s="22" t="str">
        <f>HYPERLINK("https://www.bible.com/fr/audio-bible/152/LUK.1.S21","▶ Écouter NT")</f>
        <v>▶ Écouter NT</v>
      </c>
      <c r="O192" s="27"/>
    </row>
    <row r="193" spans="1:15">
      <c r="A193" s="9">
        <v>192</v>
      </c>
      <c r="B193" s="5" t="s">
        <v>622</v>
      </c>
      <c r="C193" s="5">
        <v>28</v>
      </c>
      <c r="D193" s="4" t="s">
        <v>623</v>
      </c>
      <c r="E193" s="4" t="s">
        <v>253</v>
      </c>
      <c r="F193" s="5" t="s">
        <v>18</v>
      </c>
      <c r="G193" s="5" t="s">
        <v>19</v>
      </c>
      <c r="H193" s="5" t="s">
        <v>254</v>
      </c>
      <c r="I193" s="5" t="s">
        <v>57</v>
      </c>
      <c r="J193" s="4" t="s">
        <v>255</v>
      </c>
      <c r="K193" s="4" t="s">
        <v>23</v>
      </c>
      <c r="L193" s="10"/>
      <c r="M193" s="26" t="str">
        <f>HYPERLINK("https://www.bible.com/fr/audio-bible/152/PSA.9.S21","▶ Écouter AT")</f>
        <v>▶ Écouter AT</v>
      </c>
      <c r="N193" s="22" t="str">
        <f>HYPERLINK("https://www.bible.com/fr/audio-bible/152/LUK.1.S21","▶ Écouter NT")</f>
        <v>▶ Écouter NT</v>
      </c>
      <c r="O193" s="27"/>
    </row>
    <row r="194" spans="1:15">
      <c r="A194" s="9">
        <v>193</v>
      </c>
      <c r="B194" s="5" t="s">
        <v>624</v>
      </c>
      <c r="C194" s="5">
        <v>28</v>
      </c>
      <c r="D194" s="4" t="s">
        <v>625</v>
      </c>
      <c r="E194" s="4" t="s">
        <v>253</v>
      </c>
      <c r="F194" s="5" t="s">
        <v>18</v>
      </c>
      <c r="G194" s="5" t="s">
        <v>19</v>
      </c>
      <c r="H194" s="5" t="s">
        <v>254</v>
      </c>
      <c r="I194" s="5" t="s">
        <v>57</v>
      </c>
      <c r="J194" s="4" t="s">
        <v>255</v>
      </c>
      <c r="K194" s="4" t="s">
        <v>23</v>
      </c>
      <c r="L194" s="10"/>
      <c r="M194" s="26" t="str">
        <f>HYPERLINK("https://www.bible.com/fr/audio-bible/152/PSA.11.S21","▶ Écouter AT")</f>
        <v>▶ Écouter AT</v>
      </c>
      <c r="N194" s="22" t="str">
        <f>HYPERLINK("https://www.bible.com/fr/audio-bible/152/LUK.1.S21","▶ Écouter NT")</f>
        <v>▶ Écouter NT</v>
      </c>
      <c r="O194" s="27"/>
    </row>
    <row r="195" spans="1:15">
      <c r="A195" s="9">
        <v>194</v>
      </c>
      <c r="B195" s="5" t="s">
        <v>626</v>
      </c>
      <c r="C195" s="5">
        <v>28</v>
      </c>
      <c r="D195" s="4" t="s">
        <v>627</v>
      </c>
      <c r="E195" s="4" t="s">
        <v>253</v>
      </c>
      <c r="F195" s="5" t="s">
        <v>18</v>
      </c>
      <c r="G195" s="5" t="s">
        <v>19</v>
      </c>
      <c r="H195" s="5" t="s">
        <v>254</v>
      </c>
      <c r="I195" s="5" t="s">
        <v>57</v>
      </c>
      <c r="J195" s="4" t="s">
        <v>255</v>
      </c>
      <c r="K195" s="4" t="s">
        <v>23</v>
      </c>
      <c r="L195" s="10"/>
      <c r="M195" s="26" t="str">
        <f>HYPERLINK("https://www.bible.com/fr/audio-bible/152/PSA.14.S21","▶ Écouter AT")</f>
        <v>▶ Écouter AT</v>
      </c>
      <c r="N195" s="22" t="str">
        <f>HYPERLINK("https://www.bible.com/fr/audio-bible/152/LUK.1.S21","▶ Écouter NT")</f>
        <v>▶ Écouter NT</v>
      </c>
      <c r="O195" s="27"/>
    </row>
    <row r="196" spans="1:15">
      <c r="A196" s="9">
        <v>195</v>
      </c>
      <c r="B196" s="5" t="s">
        <v>628</v>
      </c>
      <c r="C196" s="5">
        <v>28</v>
      </c>
      <c r="D196" s="4" t="s">
        <v>629</v>
      </c>
      <c r="E196" s="4" t="s">
        <v>630</v>
      </c>
      <c r="F196" s="5" t="s">
        <v>27</v>
      </c>
      <c r="G196" s="5" t="s">
        <v>253</v>
      </c>
      <c r="H196" s="5" t="s">
        <v>254</v>
      </c>
      <c r="I196" s="5" t="s">
        <v>57</v>
      </c>
      <c r="J196" s="4" t="s">
        <v>255</v>
      </c>
      <c r="K196" s="4" t="s">
        <v>23</v>
      </c>
      <c r="L196" s="10"/>
      <c r="M196" s="26" t="str">
        <f>HYPERLINK("https://www.bible.com/fr/audio-bible/152/PSA.16.S21","▶ Écouter AT")</f>
        <v>▶ Écouter AT</v>
      </c>
      <c r="N196" s="22" t="str">
        <f>HYPERLINK("https://www.bible.com/fr/audio-bible/152/PHP.4.S21","▶ Écouter NT")</f>
        <v>▶ Écouter NT</v>
      </c>
      <c r="O196" s="27" t="str">
        <f>HYPERLINK("https://www.bible.com/fr/audio-bible/152/LUK.1.S21","▶ Écouter miroir")</f>
        <v>▶ Écouter miroir</v>
      </c>
    </row>
    <row r="197" spans="1:15" ht="27.6">
      <c r="A197" s="9">
        <v>196</v>
      </c>
      <c r="B197" s="5" t="s">
        <v>631</v>
      </c>
      <c r="C197" s="5">
        <v>28</v>
      </c>
      <c r="D197" s="4" t="s">
        <v>632</v>
      </c>
      <c r="E197" s="4" t="s">
        <v>633</v>
      </c>
      <c r="F197" s="5" t="s">
        <v>27</v>
      </c>
      <c r="G197" s="5" t="s">
        <v>17</v>
      </c>
      <c r="H197" s="5" t="s">
        <v>20</v>
      </c>
      <c r="I197" s="5" t="s">
        <v>21</v>
      </c>
      <c r="J197" s="4" t="s">
        <v>22</v>
      </c>
      <c r="K197" s="4" t="s">
        <v>23</v>
      </c>
      <c r="L197" s="10"/>
      <c r="M197" s="26" t="str">
        <f>HYPERLINK("https://www.bible.com/fr/audio-bible/152/PSA.19.S21","▶ Écouter AT")</f>
        <v>▶ Écouter AT</v>
      </c>
      <c r="N197" s="22" t="str">
        <f>HYPERLINK("https://www.bible.com/fr/audio-bible/152/2CO.5.S21","▶ Écouter NT")</f>
        <v>▶ Écouter NT</v>
      </c>
      <c r="O197" s="27" t="str">
        <f>HYPERLINK("https://www.bible.com/fr/audio-bible/152/JHN.1.S21","▶ Écouter miroir")</f>
        <v>▶ Écouter miroir</v>
      </c>
    </row>
    <row r="198" spans="1:15" ht="27.6">
      <c r="A198" s="9">
        <v>197</v>
      </c>
      <c r="B198" s="5" t="s">
        <v>634</v>
      </c>
      <c r="C198" s="5">
        <v>29</v>
      </c>
      <c r="D198" s="4" t="s">
        <v>635</v>
      </c>
      <c r="E198" s="4" t="s">
        <v>636</v>
      </c>
      <c r="F198" s="5" t="s">
        <v>27</v>
      </c>
      <c r="G198" s="5" t="s">
        <v>19</v>
      </c>
      <c r="H198" s="5" t="s">
        <v>20</v>
      </c>
      <c r="I198" s="5" t="s">
        <v>21</v>
      </c>
      <c r="J198" s="4" t="s">
        <v>22</v>
      </c>
      <c r="K198" s="4" t="s">
        <v>23</v>
      </c>
      <c r="L198" s="10"/>
      <c r="M198" s="26" t="str">
        <f>HYPERLINK("https://www.bible.com/fr/audio-bible/152/PSA.21.S21","▶ Écouter AT")</f>
        <v>▶ Écouter AT</v>
      </c>
      <c r="N198" s="22" t="str">
        <f>HYPERLINK("https://www.bible.com/fr/audio-bible/152/JHN.1.S21","▶ Écouter NT")</f>
        <v>▶ Écouter NT</v>
      </c>
      <c r="O198" s="27"/>
    </row>
    <row r="199" spans="1:15">
      <c r="A199" s="9">
        <v>198</v>
      </c>
      <c r="B199" s="5" t="s">
        <v>637</v>
      </c>
      <c r="C199" s="5">
        <v>29</v>
      </c>
      <c r="D199" s="4" t="s">
        <v>638</v>
      </c>
      <c r="E199" s="4" t="s">
        <v>639</v>
      </c>
      <c r="F199" s="5" t="s">
        <v>27</v>
      </c>
      <c r="G199" s="5" t="s">
        <v>253</v>
      </c>
      <c r="H199" s="5" t="s">
        <v>254</v>
      </c>
      <c r="I199" s="5" t="s">
        <v>57</v>
      </c>
      <c r="J199" s="4" t="s">
        <v>255</v>
      </c>
      <c r="K199" s="4" t="s">
        <v>23</v>
      </c>
      <c r="L199" s="10"/>
      <c r="M199" s="26" t="str">
        <f>HYPERLINK("https://www.bible.com/fr/audio-bible/152/PSA.24.S21","▶ Écouter AT")</f>
        <v>▶ Écouter AT</v>
      </c>
      <c r="N199" s="22" t="str">
        <f>HYPERLINK("https://www.bible.com/fr/audio-bible/152/JHN.11.S21","▶ Écouter NT")</f>
        <v>▶ Écouter NT</v>
      </c>
      <c r="O199" s="27" t="str">
        <f>HYPERLINK("https://www.bible.com/fr/audio-bible/152/LUK.1.S21","▶ Écouter miroir")</f>
        <v>▶ Écouter miroir</v>
      </c>
    </row>
    <row r="200" spans="1:15" ht="27.6">
      <c r="A200" s="9">
        <v>199</v>
      </c>
      <c r="B200" s="5" t="s">
        <v>640</v>
      </c>
      <c r="C200" s="5">
        <v>29</v>
      </c>
      <c r="D200" s="4" t="s">
        <v>641</v>
      </c>
      <c r="E200" s="4" t="s">
        <v>642</v>
      </c>
      <c r="F200" s="5" t="s">
        <v>27</v>
      </c>
      <c r="G200" s="5" t="s">
        <v>28</v>
      </c>
      <c r="H200" s="5" t="s">
        <v>29</v>
      </c>
      <c r="I200" s="5" t="s">
        <v>18</v>
      </c>
      <c r="J200" s="4" t="s">
        <v>30</v>
      </c>
      <c r="K200" s="4" t="s">
        <v>23</v>
      </c>
      <c r="L200" s="10"/>
      <c r="M200" s="26" t="str">
        <f>HYPERLINK("https://www.bible.com/fr/audio-bible/152/PSA.26.S21","▶ Écouter AT")</f>
        <v>▶ Écouter AT</v>
      </c>
      <c r="N200" s="22" t="str">
        <f>HYPERLINK("https://www.bible.com/fr/audio-bible/152/1JN.5.S21","▶ Écouter NT")</f>
        <v>▶ Écouter NT</v>
      </c>
      <c r="O200" s="27" t="str">
        <f>HYPERLINK("https://www.bible.com/fr/audio-bible/152/EPH.2.S21","▶ Écouter miroir")</f>
        <v>▶ Écouter miroir</v>
      </c>
    </row>
    <row r="201" spans="1:15" ht="27.6">
      <c r="A201" s="9">
        <v>200</v>
      </c>
      <c r="B201" s="5" t="s">
        <v>643</v>
      </c>
      <c r="C201" s="5">
        <v>29</v>
      </c>
      <c r="D201" s="4" t="s">
        <v>644</v>
      </c>
      <c r="E201" s="4" t="s">
        <v>645</v>
      </c>
      <c r="F201" s="5" t="s">
        <v>27</v>
      </c>
      <c r="G201" s="5" t="s">
        <v>28</v>
      </c>
      <c r="H201" s="5" t="s">
        <v>29</v>
      </c>
      <c r="I201" s="5" t="s">
        <v>18</v>
      </c>
      <c r="J201" s="4" t="s">
        <v>30</v>
      </c>
      <c r="K201" s="4" t="s">
        <v>23</v>
      </c>
      <c r="L201" s="10"/>
      <c r="M201" s="26" t="str">
        <f>HYPERLINK("https://www.bible.com/fr/audio-bible/152/PSA.29.S21","▶ Écouter AT")</f>
        <v>▶ Écouter AT</v>
      </c>
      <c r="N201" s="22" t="str">
        <f>HYPERLINK("https://www.bible.com/fr/audio-bible/152/1TI.2.S21","▶ Écouter NT")</f>
        <v>▶ Écouter NT</v>
      </c>
      <c r="O201" s="27" t="str">
        <f>HYPERLINK("https://www.bible.com/fr/audio-bible/152/EPH.2.S21","▶ Écouter miroir")</f>
        <v>▶ Écouter miroir</v>
      </c>
    </row>
    <row r="202" spans="1:15" ht="27.6">
      <c r="A202" s="9">
        <v>201</v>
      </c>
      <c r="B202" s="5" t="s">
        <v>646</v>
      </c>
      <c r="C202" s="5">
        <v>29</v>
      </c>
      <c r="D202" s="4" t="s">
        <v>647</v>
      </c>
      <c r="E202" s="4" t="s">
        <v>648</v>
      </c>
      <c r="F202" s="5" t="s">
        <v>27</v>
      </c>
      <c r="G202" s="5" t="s">
        <v>28</v>
      </c>
      <c r="H202" s="5" t="s">
        <v>29</v>
      </c>
      <c r="I202" s="5" t="s">
        <v>18</v>
      </c>
      <c r="J202" s="4" t="s">
        <v>30</v>
      </c>
      <c r="K202" s="4" t="s">
        <v>23</v>
      </c>
      <c r="L202" s="10"/>
      <c r="M202" s="26" t="str">
        <f>HYPERLINK("https://www.bible.com/fr/audio-bible/152/PSA.32.S21","▶ Écouter AT")</f>
        <v>▶ Écouter AT</v>
      </c>
      <c r="N202" s="22" t="str">
        <f>HYPERLINK("https://www.bible.com/fr/audio-bible/152/1TI.1.S21","▶ Écouter NT")</f>
        <v>▶ Écouter NT</v>
      </c>
      <c r="O202" s="27" t="str">
        <f>HYPERLINK("https://www.bible.com/fr/audio-bible/152/EPH.2.S21","▶ Écouter miroir")</f>
        <v>▶ Écouter miroir</v>
      </c>
    </row>
    <row r="203" spans="1:15" ht="27.6">
      <c r="A203" s="9">
        <v>202</v>
      </c>
      <c r="B203" s="5" t="s">
        <v>649</v>
      </c>
      <c r="C203" s="5">
        <v>29</v>
      </c>
      <c r="D203" s="4" t="s">
        <v>650</v>
      </c>
      <c r="E203" s="4" t="s">
        <v>651</v>
      </c>
      <c r="F203" s="5" t="s">
        <v>27</v>
      </c>
      <c r="G203" s="5" t="s">
        <v>19</v>
      </c>
      <c r="H203" s="5" t="s">
        <v>29</v>
      </c>
      <c r="I203" s="5" t="s">
        <v>18</v>
      </c>
      <c r="J203" s="4" t="s">
        <v>30</v>
      </c>
      <c r="K203" s="4" t="s">
        <v>23</v>
      </c>
      <c r="L203" s="10"/>
      <c r="M203" s="26" t="str">
        <f>HYPERLINK("https://www.bible.com/fr/audio-bible/152/PSA.34.S21","▶ Écouter AT")</f>
        <v>▶ Écouter AT</v>
      </c>
      <c r="N203" s="22" t="str">
        <f>HYPERLINK("https://www.bible.com/fr/audio-bible/152/GAL.2.S21","▶ Écouter NT")</f>
        <v>▶ Écouter NT</v>
      </c>
      <c r="O203" s="27"/>
    </row>
    <row r="204" spans="1:15" ht="27.6">
      <c r="A204" s="9">
        <v>203</v>
      </c>
      <c r="B204" s="5" t="s">
        <v>652</v>
      </c>
      <c r="C204" s="5">
        <v>29</v>
      </c>
      <c r="D204" s="4" t="s">
        <v>653</v>
      </c>
      <c r="E204" s="4" t="s">
        <v>654</v>
      </c>
      <c r="F204" s="5" t="s">
        <v>27</v>
      </c>
      <c r="G204" s="5" t="s">
        <v>19</v>
      </c>
      <c r="H204" s="5" t="s">
        <v>29</v>
      </c>
      <c r="I204" s="5" t="s">
        <v>18</v>
      </c>
      <c r="J204" s="4" t="s">
        <v>30</v>
      </c>
      <c r="K204" s="4" t="s">
        <v>23</v>
      </c>
      <c r="L204" s="10"/>
      <c r="M204" s="26" t="str">
        <f>HYPERLINK("https://www.bible.com/fr/audio-bible/152/PSA.37.S21","▶ Écouter AT")</f>
        <v>▶ Écouter AT</v>
      </c>
      <c r="N204" s="22" t="str">
        <f>HYPERLINK("https://www.bible.com/fr/audio-bible/152/GAL.1.S21","▶ Écouter NT")</f>
        <v>▶ Écouter NT</v>
      </c>
      <c r="O204" s="27"/>
    </row>
    <row r="205" spans="1:15" ht="27.6">
      <c r="A205" s="9">
        <v>204</v>
      </c>
      <c r="B205" s="5" t="s">
        <v>655</v>
      </c>
      <c r="C205" s="5">
        <v>30</v>
      </c>
      <c r="D205" s="4" t="s">
        <v>656</v>
      </c>
      <c r="E205" s="4" t="s">
        <v>657</v>
      </c>
      <c r="F205" s="5" t="s">
        <v>27</v>
      </c>
      <c r="G205" s="5" t="s">
        <v>28</v>
      </c>
      <c r="H205" s="5" t="s">
        <v>29</v>
      </c>
      <c r="I205" s="5" t="s">
        <v>18</v>
      </c>
      <c r="J205" s="4" t="s">
        <v>30</v>
      </c>
      <c r="K205" s="4" t="s">
        <v>23</v>
      </c>
      <c r="L205" s="10"/>
      <c r="M205" s="26" t="str">
        <f>HYPERLINK("https://www.bible.com/fr/audio-bible/152/PSA.39.S21","▶ Écouter AT")</f>
        <v>▶ Écouter AT</v>
      </c>
      <c r="N205" s="22" t="str">
        <f>HYPERLINK("https://www.bible.com/fr/audio-bible/152/2CO.13.S21","▶ Écouter NT")</f>
        <v>▶ Écouter NT</v>
      </c>
      <c r="O205" s="27" t="str">
        <f>HYPERLINK("https://www.bible.com/fr/audio-bible/152/EPH.2.S21","▶ Écouter miroir")</f>
        <v>▶ Écouter miroir</v>
      </c>
    </row>
    <row r="206" spans="1:15" ht="27.6">
      <c r="A206" s="9">
        <v>205</v>
      </c>
      <c r="B206" s="5" t="s">
        <v>658</v>
      </c>
      <c r="C206" s="5">
        <v>30</v>
      </c>
      <c r="D206" s="4" t="s">
        <v>659</v>
      </c>
      <c r="E206" s="4" t="s">
        <v>603</v>
      </c>
      <c r="F206" s="5" t="s">
        <v>18</v>
      </c>
      <c r="G206" s="5" t="s">
        <v>19</v>
      </c>
      <c r="H206" s="5" t="s">
        <v>604</v>
      </c>
      <c r="I206" s="5" t="s">
        <v>89</v>
      </c>
      <c r="J206" s="4" t="s">
        <v>605</v>
      </c>
      <c r="K206" s="4" t="s">
        <v>23</v>
      </c>
      <c r="L206" s="10"/>
      <c r="M206" s="26" t="str">
        <f>HYPERLINK("https://www.bible.com/fr/audio-bible/152/PSA.42.S21","▶ Écouter AT")</f>
        <v>▶ Écouter AT</v>
      </c>
      <c r="N206" s="22" t="str">
        <f>HYPERLINK("https://www.bible.com/fr/audio-bible/152/1CO.1.S21","▶ Écouter NT")</f>
        <v>▶ Écouter NT</v>
      </c>
      <c r="O206" s="27"/>
    </row>
    <row r="207" spans="1:15" ht="27.6">
      <c r="A207" s="9">
        <v>206</v>
      </c>
      <c r="B207" s="5" t="s">
        <v>660</v>
      </c>
      <c r="C207" s="5">
        <v>30</v>
      </c>
      <c r="D207" s="4" t="s">
        <v>661</v>
      </c>
      <c r="E207" s="4" t="s">
        <v>603</v>
      </c>
      <c r="F207" s="5" t="s">
        <v>18</v>
      </c>
      <c r="G207" s="5" t="s">
        <v>19</v>
      </c>
      <c r="H207" s="5" t="s">
        <v>604</v>
      </c>
      <c r="I207" s="5" t="s">
        <v>89</v>
      </c>
      <c r="J207" s="4" t="s">
        <v>605</v>
      </c>
      <c r="K207" s="4" t="s">
        <v>23</v>
      </c>
      <c r="L207" s="10"/>
      <c r="M207" s="26" t="str">
        <f>HYPERLINK("https://www.bible.com/fr/audio-bible/152/PSA.44.S21","▶ Écouter AT")</f>
        <v>▶ Écouter AT</v>
      </c>
      <c r="N207" s="22" t="str">
        <f>HYPERLINK("https://www.bible.com/fr/audio-bible/152/1CO.1.S21","▶ Écouter NT")</f>
        <v>▶ Écouter NT</v>
      </c>
      <c r="O207" s="27"/>
    </row>
    <row r="208" spans="1:15" ht="27.6">
      <c r="A208" s="9">
        <v>207</v>
      </c>
      <c r="B208" s="5" t="s">
        <v>662</v>
      </c>
      <c r="C208" s="5">
        <v>30</v>
      </c>
      <c r="D208" s="4" t="s">
        <v>663</v>
      </c>
      <c r="E208" s="4" t="s">
        <v>603</v>
      </c>
      <c r="F208" s="5" t="s">
        <v>18</v>
      </c>
      <c r="G208" s="5" t="s">
        <v>19</v>
      </c>
      <c r="H208" s="5" t="s">
        <v>604</v>
      </c>
      <c r="I208" s="5" t="s">
        <v>89</v>
      </c>
      <c r="J208" s="4" t="s">
        <v>605</v>
      </c>
      <c r="K208" s="4" t="s">
        <v>23</v>
      </c>
      <c r="L208" s="10"/>
      <c r="M208" s="26" t="str">
        <f>HYPERLINK("https://www.bible.com/fr/audio-bible/152/PSA.47.S21","▶ Écouter AT")</f>
        <v>▶ Écouter AT</v>
      </c>
      <c r="N208" s="22" t="str">
        <f>HYPERLINK("https://www.bible.com/fr/audio-bible/152/1CO.1.S21","▶ Écouter NT")</f>
        <v>▶ Écouter NT</v>
      </c>
      <c r="O208" s="27"/>
    </row>
    <row r="209" spans="1:15">
      <c r="A209" s="9">
        <v>208</v>
      </c>
      <c r="B209" s="5" t="s">
        <v>664</v>
      </c>
      <c r="C209" s="5">
        <v>30</v>
      </c>
      <c r="D209" s="4" t="s">
        <v>665</v>
      </c>
      <c r="E209" s="4" t="s">
        <v>666</v>
      </c>
      <c r="F209" s="5" t="s">
        <v>27</v>
      </c>
      <c r="G209" s="5" t="s">
        <v>19</v>
      </c>
      <c r="H209" s="5" t="s">
        <v>226</v>
      </c>
      <c r="I209" s="5" t="s">
        <v>89</v>
      </c>
      <c r="J209" s="4" t="s">
        <v>227</v>
      </c>
      <c r="K209" s="4" t="s">
        <v>23</v>
      </c>
      <c r="L209" s="10"/>
      <c r="M209" s="26" t="str">
        <f>HYPERLINK("https://www.bible.com/fr/audio-bible/152/PSA.49.S21","▶ Écouter AT")</f>
        <v>▶ Écouter AT</v>
      </c>
      <c r="N209" s="22" t="str">
        <f>HYPERLINK("https://www.bible.com/fr/audio-bible/152/ROM.13.S21","▶ Écouter NT")</f>
        <v>▶ Écouter NT</v>
      </c>
      <c r="O209" s="27"/>
    </row>
    <row r="210" spans="1:15">
      <c r="A210" s="9">
        <v>209</v>
      </c>
      <c r="B210" s="5" t="s">
        <v>667</v>
      </c>
      <c r="C210" s="5">
        <v>30</v>
      </c>
      <c r="D210" s="4" t="s">
        <v>668</v>
      </c>
      <c r="E210" s="4" t="s">
        <v>669</v>
      </c>
      <c r="F210" s="5" t="s">
        <v>27</v>
      </c>
      <c r="G210" s="5" t="s">
        <v>19</v>
      </c>
      <c r="H210" s="5" t="s">
        <v>226</v>
      </c>
      <c r="I210" s="5" t="s">
        <v>89</v>
      </c>
      <c r="J210" s="4" t="s">
        <v>227</v>
      </c>
      <c r="K210" s="4" t="s">
        <v>23</v>
      </c>
      <c r="L210" s="10"/>
      <c r="M210" s="26" t="str">
        <f>HYPERLINK("https://www.bible.com/fr/audio-bible/152/PSA.52.S21","▶ Écouter AT")</f>
        <v>▶ Écouter AT</v>
      </c>
      <c r="N210" s="22" t="str">
        <f>HYPERLINK("https://www.bible.com/fr/audio-bible/152/REV.17.S21","▶ Écouter NT")</f>
        <v>▶ Écouter NT</v>
      </c>
      <c r="O210" s="27"/>
    </row>
    <row r="211" spans="1:15">
      <c r="A211" s="9">
        <v>210</v>
      </c>
      <c r="B211" s="5" t="s">
        <v>670</v>
      </c>
      <c r="C211" s="5">
        <v>30</v>
      </c>
      <c r="D211" s="4" t="s">
        <v>671</v>
      </c>
      <c r="E211" s="4" t="s">
        <v>672</v>
      </c>
      <c r="F211" s="5" t="s">
        <v>27</v>
      </c>
      <c r="G211" s="5" t="s">
        <v>19</v>
      </c>
      <c r="H211" s="5" t="s">
        <v>226</v>
      </c>
      <c r="I211" s="5" t="s">
        <v>89</v>
      </c>
      <c r="J211" s="4" t="s">
        <v>227</v>
      </c>
      <c r="K211" s="4" t="s">
        <v>23</v>
      </c>
      <c r="L211" s="10"/>
      <c r="M211" s="26" t="str">
        <f>HYPERLINK("https://www.bible.com/fr/audio-bible/152/PSA.54.S21","▶ Écouter AT")</f>
        <v>▶ Écouter AT</v>
      </c>
      <c r="N211" s="22" t="str">
        <f>HYPERLINK("https://www.bible.com/fr/audio-bible/152/REV.16.S21","▶ Écouter NT")</f>
        <v>▶ Écouter NT</v>
      </c>
      <c r="O211" s="27"/>
    </row>
    <row r="212" spans="1:15">
      <c r="A212" s="9">
        <v>211</v>
      </c>
      <c r="B212" s="5" t="s">
        <v>673</v>
      </c>
      <c r="C212" s="5">
        <v>31</v>
      </c>
      <c r="D212" s="4" t="s">
        <v>674</v>
      </c>
      <c r="E212" s="4" t="s">
        <v>675</v>
      </c>
      <c r="F212" s="5" t="s">
        <v>27</v>
      </c>
      <c r="G212" s="5" t="s">
        <v>267</v>
      </c>
      <c r="H212" s="5" t="s">
        <v>226</v>
      </c>
      <c r="I212" s="5" t="s">
        <v>89</v>
      </c>
      <c r="J212" s="4" t="s">
        <v>227</v>
      </c>
      <c r="K212" s="4" t="s">
        <v>23</v>
      </c>
      <c r="L212" s="10"/>
      <c r="M212" s="26" t="str">
        <f>HYPERLINK("https://www.bible.com/fr/audio-bible/152/PSA.57.S21","▶ Écouter AT")</f>
        <v>▶ Écouter AT</v>
      </c>
      <c r="N212" s="22" t="str">
        <f>HYPERLINK("https://www.bible.com/fr/audio-bible/152/COL.4.S21","▶ Écouter NT")</f>
        <v>▶ Écouter NT</v>
      </c>
      <c r="O212" s="27" t="str">
        <f>HYPERLINK("https://www.bible.com/fr/audio-bible/152/JAS.2.S21","▶ Écouter miroir")</f>
        <v>▶ Écouter miroir</v>
      </c>
    </row>
    <row r="213" spans="1:15">
      <c r="A213" s="9">
        <v>212</v>
      </c>
      <c r="B213" s="5" t="s">
        <v>676</v>
      </c>
      <c r="C213" s="5">
        <v>31</v>
      </c>
      <c r="D213" s="4" t="s">
        <v>677</v>
      </c>
      <c r="E213" s="4" t="s">
        <v>678</v>
      </c>
      <c r="F213" s="5" t="s">
        <v>27</v>
      </c>
      <c r="G213" s="5" t="s">
        <v>19</v>
      </c>
      <c r="H213" s="5" t="s">
        <v>211</v>
      </c>
      <c r="I213" s="5" t="s">
        <v>212</v>
      </c>
      <c r="J213" s="4" t="s">
        <v>213</v>
      </c>
      <c r="K213" s="4" t="s">
        <v>23</v>
      </c>
      <c r="L213" s="10"/>
      <c r="M213" s="26" t="str">
        <f>HYPERLINK("https://www.bible.com/fr/audio-bible/152/PSA.60.S21","▶ Écouter AT")</f>
        <v>▶ Écouter AT</v>
      </c>
      <c r="N213" s="22" t="str">
        <f>HYPERLINK("https://www.bible.com/fr/audio-bible/152/JHN.4.S21","▶ Écouter NT")</f>
        <v>▶ Écouter NT</v>
      </c>
      <c r="O213" s="27"/>
    </row>
    <row r="214" spans="1:15">
      <c r="A214" s="9">
        <v>213</v>
      </c>
      <c r="B214" s="5" t="s">
        <v>679</v>
      </c>
      <c r="C214" s="5">
        <v>31</v>
      </c>
      <c r="D214" s="4" t="s">
        <v>680</v>
      </c>
      <c r="E214" s="4" t="s">
        <v>681</v>
      </c>
      <c r="F214" s="5" t="s">
        <v>27</v>
      </c>
      <c r="G214" s="5" t="s">
        <v>342</v>
      </c>
      <c r="H214" s="5" t="s">
        <v>211</v>
      </c>
      <c r="I214" s="5" t="s">
        <v>212</v>
      </c>
      <c r="J214" s="4" t="s">
        <v>213</v>
      </c>
      <c r="K214" s="4" t="s">
        <v>23</v>
      </c>
      <c r="L214" s="10"/>
      <c r="M214" s="26" t="str">
        <f>HYPERLINK("https://www.bible.com/fr/audio-bible/152/PSA.62.S21","▶ Écouter AT")</f>
        <v>▶ Écouter AT</v>
      </c>
      <c r="N214" s="22" t="str">
        <f>HYPERLINK("https://www.bible.com/fr/audio-bible/152/ACT.8.S21","▶ Écouter NT")</f>
        <v>▶ Écouter NT</v>
      </c>
      <c r="O214" s="27" t="str">
        <f>HYPERLINK("https://www.bible.com/fr/audio-bible/152/LUK.24.S21","▶ Écouter miroir")</f>
        <v>▶ Écouter miroir</v>
      </c>
    </row>
    <row r="215" spans="1:15">
      <c r="A215" s="9">
        <v>214</v>
      </c>
      <c r="B215" s="5" t="s">
        <v>682</v>
      </c>
      <c r="C215" s="5">
        <v>31</v>
      </c>
      <c r="D215" s="4" t="s">
        <v>683</v>
      </c>
      <c r="E215" s="4" t="s">
        <v>684</v>
      </c>
      <c r="F215" s="5" t="s">
        <v>27</v>
      </c>
      <c r="G215" s="5" t="s">
        <v>342</v>
      </c>
      <c r="H215" s="5" t="s">
        <v>211</v>
      </c>
      <c r="I215" s="5" t="s">
        <v>212</v>
      </c>
      <c r="J215" s="4" t="s">
        <v>213</v>
      </c>
      <c r="K215" s="4" t="s">
        <v>23</v>
      </c>
      <c r="L215" s="10"/>
      <c r="M215" s="26" t="str">
        <f>HYPERLINK("https://www.bible.com/fr/audio-bible/152/PSA.65.S21","▶ Écouter AT")</f>
        <v>▶ Écouter AT</v>
      </c>
      <c r="N215" s="22" t="str">
        <f>HYPERLINK("https://www.bible.com/fr/audio-bible/152/ACT.9.S21","▶ Écouter NT")</f>
        <v>▶ Écouter NT</v>
      </c>
      <c r="O215" s="27" t="str">
        <f>HYPERLINK("https://www.bible.com/fr/audio-bible/152/LUK.24.S21","▶ Écouter miroir")</f>
        <v>▶ Écouter miroir</v>
      </c>
    </row>
    <row r="216" spans="1:15">
      <c r="A216" s="9">
        <v>215</v>
      </c>
      <c r="B216" s="5" t="s">
        <v>685</v>
      </c>
      <c r="C216" s="5">
        <v>31</v>
      </c>
      <c r="D216" s="4" t="s">
        <v>686</v>
      </c>
      <c r="E216" s="4" t="s">
        <v>687</v>
      </c>
      <c r="F216" s="5" t="s">
        <v>27</v>
      </c>
      <c r="G216" s="5" t="s">
        <v>342</v>
      </c>
      <c r="H216" s="5" t="s">
        <v>211</v>
      </c>
      <c r="I216" s="5" t="s">
        <v>212</v>
      </c>
      <c r="J216" s="4" t="s">
        <v>213</v>
      </c>
      <c r="K216" s="4" t="s">
        <v>23</v>
      </c>
      <c r="L216" s="10"/>
      <c r="M216" s="26" t="str">
        <f>HYPERLINK("https://www.bible.com/fr/audio-bible/152/PSA.67.S21","▶ Écouter AT")</f>
        <v>▶ Écouter AT</v>
      </c>
      <c r="N216" s="22" t="str">
        <f>HYPERLINK("https://www.bible.com/fr/audio-bible/152/ACT.10.S21","▶ Écouter NT")</f>
        <v>▶ Écouter NT</v>
      </c>
      <c r="O216" s="27" t="str">
        <f>HYPERLINK("https://www.bible.com/fr/audio-bible/152/LUK.24.S21","▶ Écouter miroir")</f>
        <v>▶ Écouter miroir</v>
      </c>
    </row>
    <row r="217" spans="1:15">
      <c r="A217" s="9">
        <v>216</v>
      </c>
      <c r="B217" s="5" t="s">
        <v>688</v>
      </c>
      <c r="C217" s="5">
        <v>31</v>
      </c>
      <c r="D217" s="4" t="s">
        <v>689</v>
      </c>
      <c r="E217" s="4" t="s">
        <v>690</v>
      </c>
      <c r="F217" s="5" t="s">
        <v>27</v>
      </c>
      <c r="G217" s="5" t="s">
        <v>342</v>
      </c>
      <c r="H217" s="5" t="s">
        <v>211</v>
      </c>
      <c r="I217" s="5" t="s">
        <v>212</v>
      </c>
      <c r="J217" s="4" t="s">
        <v>213</v>
      </c>
      <c r="K217" s="4" t="s">
        <v>23</v>
      </c>
      <c r="L217" s="10"/>
      <c r="M217" s="26" t="str">
        <f>HYPERLINK("https://www.bible.com/fr/audio-bible/152/PSA.70.S21","▶ Écouter AT")</f>
        <v>▶ Écouter AT</v>
      </c>
      <c r="N217" s="22" t="str">
        <f>HYPERLINK("https://www.bible.com/fr/audio-bible/152/REV.14.S21","▶ Écouter NT")</f>
        <v>▶ Écouter NT</v>
      </c>
      <c r="O217" s="27" t="str">
        <f>HYPERLINK("https://www.bible.com/fr/audio-bible/152/LUK.24.S21","▶ Écouter miroir")</f>
        <v>▶ Écouter miroir</v>
      </c>
    </row>
    <row r="218" spans="1:15">
      <c r="A218" s="9">
        <v>217</v>
      </c>
      <c r="B218" s="5" t="s">
        <v>691</v>
      </c>
      <c r="C218" s="5">
        <v>31</v>
      </c>
      <c r="D218" s="4" t="s">
        <v>692</v>
      </c>
      <c r="E218" s="4" t="s">
        <v>693</v>
      </c>
      <c r="F218" s="5" t="s">
        <v>27</v>
      </c>
      <c r="G218" s="5" t="s">
        <v>19</v>
      </c>
      <c r="H218" s="5" t="s">
        <v>211</v>
      </c>
      <c r="I218" s="5" t="s">
        <v>212</v>
      </c>
      <c r="J218" s="4" t="s">
        <v>213</v>
      </c>
      <c r="K218" s="4" t="s">
        <v>23</v>
      </c>
      <c r="L218" s="10"/>
      <c r="M218" s="26" t="str">
        <f>HYPERLINK("https://www.bible.com/fr/audio-bible/152/PSA.72.S21","▶ Écouter AT")</f>
        <v>▶ Écouter AT</v>
      </c>
      <c r="N218" s="22" t="str">
        <f>HYPERLINK("https://www.bible.com/fr/audio-bible/152/EPH.1.S21","▶ Écouter NT")</f>
        <v>▶ Écouter NT</v>
      </c>
      <c r="O218" s="27"/>
    </row>
    <row r="219" spans="1:15">
      <c r="A219" s="9">
        <v>218</v>
      </c>
      <c r="B219" s="5" t="s">
        <v>694</v>
      </c>
      <c r="C219" s="5">
        <v>32</v>
      </c>
      <c r="D219" s="4" t="s">
        <v>695</v>
      </c>
      <c r="E219" s="4" t="s">
        <v>33</v>
      </c>
      <c r="F219" s="5" t="s">
        <v>18</v>
      </c>
      <c r="G219" s="5" t="s">
        <v>19</v>
      </c>
      <c r="H219" s="5" t="s">
        <v>34</v>
      </c>
      <c r="I219" s="5" t="s">
        <v>18</v>
      </c>
      <c r="J219" s="4" t="s">
        <v>35</v>
      </c>
      <c r="K219" s="4" t="s">
        <v>23</v>
      </c>
      <c r="L219" s="10"/>
      <c r="M219" s="26" t="str">
        <f>HYPERLINK("https://www.bible.com/fr/audio-bible/152/PSA.75.S21","▶ Écouter AT")</f>
        <v>▶ Écouter AT</v>
      </c>
      <c r="N219" s="22" t="str">
        <f>HYPERLINK("https://www.bible.com/fr/audio-bible/152/HEB.8.S21","▶ Écouter NT")</f>
        <v>▶ Écouter NT</v>
      </c>
      <c r="O219" s="27"/>
    </row>
    <row r="220" spans="1:15">
      <c r="A220" s="9">
        <v>219</v>
      </c>
      <c r="B220" s="5" t="s">
        <v>696</v>
      </c>
      <c r="C220" s="5">
        <v>32</v>
      </c>
      <c r="D220" s="4" t="s">
        <v>697</v>
      </c>
      <c r="E220" s="4" t="s">
        <v>33</v>
      </c>
      <c r="F220" s="5" t="s">
        <v>18</v>
      </c>
      <c r="G220" s="5" t="s">
        <v>19</v>
      </c>
      <c r="H220" s="5" t="s">
        <v>34</v>
      </c>
      <c r="I220" s="5" t="s">
        <v>18</v>
      </c>
      <c r="J220" s="4" t="s">
        <v>35</v>
      </c>
      <c r="K220" s="4" t="s">
        <v>23</v>
      </c>
      <c r="L220" s="10"/>
      <c r="M220" s="26" t="str">
        <f>HYPERLINK("https://www.bible.com/fr/audio-bible/152/PSA.77.S21","▶ Écouter AT")</f>
        <v>▶ Écouter AT</v>
      </c>
      <c r="N220" s="22" t="str">
        <f>HYPERLINK("https://www.bible.com/fr/audio-bible/152/HEB.8.S21","▶ Écouter NT")</f>
        <v>▶ Écouter NT</v>
      </c>
      <c r="O220" s="27"/>
    </row>
    <row r="221" spans="1:15">
      <c r="A221" s="9">
        <v>220</v>
      </c>
      <c r="B221" s="5" t="s">
        <v>698</v>
      </c>
      <c r="C221" s="5">
        <v>32</v>
      </c>
      <c r="D221" s="4" t="s">
        <v>699</v>
      </c>
      <c r="E221" s="4" t="s">
        <v>33</v>
      </c>
      <c r="F221" s="5" t="s">
        <v>18</v>
      </c>
      <c r="G221" s="5" t="s">
        <v>19</v>
      </c>
      <c r="H221" s="5" t="s">
        <v>34</v>
      </c>
      <c r="I221" s="5" t="s">
        <v>18</v>
      </c>
      <c r="J221" s="4" t="s">
        <v>35</v>
      </c>
      <c r="K221" s="4" t="s">
        <v>23</v>
      </c>
      <c r="L221" s="10"/>
      <c r="M221" s="26" t="str">
        <f>HYPERLINK("https://www.bible.com/fr/audio-bible/152/PSA.80.S21","▶ Écouter AT")</f>
        <v>▶ Écouter AT</v>
      </c>
      <c r="N221" s="22" t="str">
        <f>HYPERLINK("https://www.bible.com/fr/audio-bible/152/HEB.8.S21","▶ Écouter NT")</f>
        <v>▶ Écouter NT</v>
      </c>
      <c r="O221" s="27"/>
    </row>
    <row r="222" spans="1:15">
      <c r="A222" s="9">
        <v>221</v>
      </c>
      <c r="B222" s="5" t="s">
        <v>700</v>
      </c>
      <c r="C222" s="5">
        <v>32</v>
      </c>
      <c r="D222" s="4" t="s">
        <v>701</v>
      </c>
      <c r="E222" s="4" t="s">
        <v>33</v>
      </c>
      <c r="F222" s="5" t="s">
        <v>18</v>
      </c>
      <c r="G222" s="5" t="s">
        <v>19</v>
      </c>
      <c r="H222" s="5" t="s">
        <v>34</v>
      </c>
      <c r="I222" s="5" t="s">
        <v>18</v>
      </c>
      <c r="J222" s="4" t="s">
        <v>35</v>
      </c>
      <c r="K222" s="4" t="s">
        <v>23</v>
      </c>
      <c r="L222" s="10"/>
      <c r="M222" s="26" t="str">
        <f>HYPERLINK("https://www.bible.com/fr/audio-bible/152/PSA.82.S21","▶ Écouter AT")</f>
        <v>▶ Écouter AT</v>
      </c>
      <c r="N222" s="22" t="str">
        <f>HYPERLINK("https://www.bible.com/fr/audio-bible/152/HEB.8.S21","▶ Écouter NT")</f>
        <v>▶ Écouter NT</v>
      </c>
      <c r="O222" s="27"/>
    </row>
    <row r="223" spans="1:15">
      <c r="A223" s="9">
        <v>222</v>
      </c>
      <c r="B223" s="5" t="s">
        <v>702</v>
      </c>
      <c r="C223" s="5">
        <v>32</v>
      </c>
      <c r="D223" s="4" t="s">
        <v>703</v>
      </c>
      <c r="E223" s="4" t="s">
        <v>33</v>
      </c>
      <c r="F223" s="5" t="s">
        <v>18</v>
      </c>
      <c r="G223" s="5" t="s">
        <v>19</v>
      </c>
      <c r="H223" s="5" t="s">
        <v>34</v>
      </c>
      <c r="I223" s="5" t="s">
        <v>18</v>
      </c>
      <c r="J223" s="4" t="s">
        <v>35</v>
      </c>
      <c r="K223" s="4" t="s">
        <v>23</v>
      </c>
      <c r="L223" s="10"/>
      <c r="M223" s="26" t="str">
        <f>HYPERLINK("https://www.bible.com/fr/audio-bible/152/PSA.85.S21","▶ Écouter AT")</f>
        <v>▶ Écouter AT</v>
      </c>
      <c r="N223" s="22" t="str">
        <f>HYPERLINK("https://www.bible.com/fr/audio-bible/152/HEB.8.S21","▶ Écouter NT")</f>
        <v>▶ Écouter NT</v>
      </c>
      <c r="O223" s="27"/>
    </row>
    <row r="224" spans="1:15">
      <c r="A224" s="9">
        <v>223</v>
      </c>
      <c r="B224" s="5" t="s">
        <v>704</v>
      </c>
      <c r="C224" s="5">
        <v>32</v>
      </c>
      <c r="D224" s="4" t="s">
        <v>705</v>
      </c>
      <c r="E224" s="4" t="s">
        <v>706</v>
      </c>
      <c r="F224" s="5" t="s">
        <v>27</v>
      </c>
      <c r="G224" s="5" t="s">
        <v>19</v>
      </c>
      <c r="H224" s="5" t="s">
        <v>34</v>
      </c>
      <c r="I224" s="5" t="s">
        <v>18</v>
      </c>
      <c r="J224" s="4" t="s">
        <v>35</v>
      </c>
      <c r="K224" s="4" t="s">
        <v>23</v>
      </c>
      <c r="L224" s="10"/>
      <c r="M224" s="26" t="str">
        <f>HYPERLINK("https://www.bible.com/fr/audio-bible/152/PSA.88.S21","▶ Écouter AT")</f>
        <v>▶ Écouter AT</v>
      </c>
      <c r="N224" s="22" t="str">
        <f>HYPERLINK("https://www.bible.com/fr/audio-bible/152/HEB.13.S21","▶ Écouter NT")</f>
        <v>▶ Écouter NT</v>
      </c>
      <c r="O224" s="27"/>
    </row>
    <row r="225" spans="1:15" ht="27.6">
      <c r="A225" s="9">
        <v>224</v>
      </c>
      <c r="B225" s="5" t="s">
        <v>707</v>
      </c>
      <c r="C225" s="5">
        <v>32</v>
      </c>
      <c r="D225" s="4" t="s">
        <v>708</v>
      </c>
      <c r="E225" s="4" t="s">
        <v>709</v>
      </c>
      <c r="F225" s="5" t="s">
        <v>27</v>
      </c>
      <c r="G225" s="5" t="s">
        <v>19</v>
      </c>
      <c r="H225" s="5" t="s">
        <v>121</v>
      </c>
      <c r="I225" s="5" t="s">
        <v>122</v>
      </c>
      <c r="J225" s="4" t="s">
        <v>123</v>
      </c>
      <c r="K225" s="4" t="s">
        <v>23</v>
      </c>
      <c r="L225" s="10"/>
      <c r="M225" s="26" t="str">
        <f>HYPERLINK("https://www.bible.com/fr/audio-bible/152/PSA.90.S21","▶ Écouter AT")</f>
        <v>▶ Écouter AT</v>
      </c>
      <c r="N225" s="22" t="str">
        <f>HYPERLINK("https://www.bible.com/fr/audio-bible/152/MAT.4.S21","▶ Écouter NT")</f>
        <v>▶ Écouter NT</v>
      </c>
      <c r="O225" s="27"/>
    </row>
    <row r="226" spans="1:15" ht="27.6">
      <c r="A226" s="9">
        <v>225</v>
      </c>
      <c r="B226" s="5" t="s">
        <v>710</v>
      </c>
      <c r="C226" s="5">
        <v>33</v>
      </c>
      <c r="D226" s="4" t="s">
        <v>711</v>
      </c>
      <c r="E226" s="4" t="s">
        <v>120</v>
      </c>
      <c r="F226" s="5" t="s">
        <v>18</v>
      </c>
      <c r="G226" s="5" t="s">
        <v>19</v>
      </c>
      <c r="H226" s="5" t="s">
        <v>121</v>
      </c>
      <c r="I226" s="5" t="s">
        <v>122</v>
      </c>
      <c r="J226" s="4" t="s">
        <v>123</v>
      </c>
      <c r="K226" s="4" t="s">
        <v>23</v>
      </c>
      <c r="L226" s="10"/>
      <c r="M226" s="26" t="str">
        <f>HYPERLINK("https://www.bible.com/fr/audio-bible/152/PSA.93.S21","▶ Écouter AT")</f>
        <v>▶ Écouter AT</v>
      </c>
      <c r="N226" s="22" t="str">
        <f>HYPERLINK("https://www.bible.com/fr/audio-bible/152/HEB.3.S21","▶ Écouter NT")</f>
        <v>▶ Écouter NT</v>
      </c>
      <c r="O226" s="27"/>
    </row>
    <row r="227" spans="1:15" ht="27.6">
      <c r="A227" s="9">
        <v>226</v>
      </c>
      <c r="B227" s="5" t="s">
        <v>712</v>
      </c>
      <c r="C227" s="5">
        <v>33</v>
      </c>
      <c r="D227" s="4" t="s">
        <v>713</v>
      </c>
      <c r="E227" s="4" t="s">
        <v>120</v>
      </c>
      <c r="F227" s="5" t="s">
        <v>18</v>
      </c>
      <c r="G227" s="5" t="s">
        <v>19</v>
      </c>
      <c r="H227" s="5" t="s">
        <v>121</v>
      </c>
      <c r="I227" s="5" t="s">
        <v>122</v>
      </c>
      <c r="J227" s="4" t="s">
        <v>123</v>
      </c>
      <c r="K227" s="4" t="s">
        <v>23</v>
      </c>
      <c r="L227" s="10"/>
      <c r="M227" s="26" t="str">
        <f>HYPERLINK("https://www.bible.com/fr/audio-bible/152/PSA.95.S21","▶ Écouter AT")</f>
        <v>▶ Écouter AT</v>
      </c>
      <c r="N227" s="22" t="str">
        <f>HYPERLINK("https://www.bible.com/fr/audio-bible/152/HEB.3.S21","▶ Écouter NT")</f>
        <v>▶ Écouter NT</v>
      </c>
      <c r="O227" s="27"/>
    </row>
    <row r="228" spans="1:15" ht="27.6">
      <c r="A228" s="9">
        <v>227</v>
      </c>
      <c r="B228" s="5" t="s">
        <v>714</v>
      </c>
      <c r="C228" s="5">
        <v>33</v>
      </c>
      <c r="D228" s="4" t="s">
        <v>715</v>
      </c>
      <c r="E228" s="4" t="s">
        <v>120</v>
      </c>
      <c r="F228" s="5" t="s">
        <v>18</v>
      </c>
      <c r="G228" s="5" t="s">
        <v>19</v>
      </c>
      <c r="H228" s="5" t="s">
        <v>121</v>
      </c>
      <c r="I228" s="5" t="s">
        <v>122</v>
      </c>
      <c r="J228" s="4" t="s">
        <v>123</v>
      </c>
      <c r="K228" s="4" t="s">
        <v>23</v>
      </c>
      <c r="L228" s="10"/>
      <c r="M228" s="26" t="str">
        <f>HYPERLINK("https://www.bible.com/fr/audio-bible/152/PSA.98.S21","▶ Écouter AT")</f>
        <v>▶ Écouter AT</v>
      </c>
      <c r="N228" s="22" t="str">
        <f>HYPERLINK("https://www.bible.com/fr/audio-bible/152/HEB.3.S21","▶ Écouter NT")</f>
        <v>▶ Écouter NT</v>
      </c>
      <c r="O228" s="27"/>
    </row>
    <row r="229" spans="1:15" ht="27.6">
      <c r="A229" s="9">
        <v>228</v>
      </c>
      <c r="B229" s="5" t="s">
        <v>716</v>
      </c>
      <c r="C229" s="5">
        <v>33</v>
      </c>
      <c r="D229" s="4" t="s">
        <v>717</v>
      </c>
      <c r="E229" s="4" t="s">
        <v>120</v>
      </c>
      <c r="F229" s="5" t="s">
        <v>18</v>
      </c>
      <c r="G229" s="5" t="s">
        <v>19</v>
      </c>
      <c r="H229" s="5" t="s">
        <v>121</v>
      </c>
      <c r="I229" s="5" t="s">
        <v>122</v>
      </c>
      <c r="J229" s="4" t="s">
        <v>123</v>
      </c>
      <c r="K229" s="4" t="s">
        <v>23</v>
      </c>
      <c r="L229" s="10"/>
      <c r="M229" s="26" t="str">
        <f>HYPERLINK("https://www.bible.com/fr/audio-bible/152/PSA.100.S21","▶ Écouter AT")</f>
        <v>▶ Écouter AT</v>
      </c>
      <c r="N229" s="22" t="str">
        <f>HYPERLINK("https://www.bible.com/fr/audio-bible/152/HEB.3.S21","▶ Écouter NT")</f>
        <v>▶ Écouter NT</v>
      </c>
      <c r="O229" s="27"/>
    </row>
    <row r="230" spans="1:15" ht="27.6">
      <c r="A230" s="9">
        <v>229</v>
      </c>
      <c r="B230" s="5" t="s">
        <v>718</v>
      </c>
      <c r="C230" s="5">
        <v>33</v>
      </c>
      <c r="D230" s="4" t="s">
        <v>719</v>
      </c>
      <c r="E230" s="4" t="s">
        <v>120</v>
      </c>
      <c r="F230" s="5" t="s">
        <v>18</v>
      </c>
      <c r="G230" s="5" t="s">
        <v>19</v>
      </c>
      <c r="H230" s="5" t="s">
        <v>121</v>
      </c>
      <c r="I230" s="5" t="s">
        <v>122</v>
      </c>
      <c r="J230" s="4" t="s">
        <v>123</v>
      </c>
      <c r="K230" s="4" t="s">
        <v>23</v>
      </c>
      <c r="L230" s="10"/>
      <c r="M230" s="26" t="str">
        <f>HYPERLINK("https://www.bible.com/fr/audio-bible/152/PSA.103.S21","▶ Écouter AT")</f>
        <v>▶ Écouter AT</v>
      </c>
      <c r="N230" s="22" t="str">
        <f>HYPERLINK("https://www.bible.com/fr/audio-bible/152/HEB.3.S21","▶ Écouter NT")</f>
        <v>▶ Écouter NT</v>
      </c>
      <c r="O230" s="27"/>
    </row>
    <row r="231" spans="1:15">
      <c r="A231" s="9">
        <v>230</v>
      </c>
      <c r="B231" s="5" t="s">
        <v>720</v>
      </c>
      <c r="C231" s="5">
        <v>33</v>
      </c>
      <c r="D231" s="4" t="s">
        <v>721</v>
      </c>
      <c r="E231" s="4" t="s">
        <v>722</v>
      </c>
      <c r="F231" s="5" t="s">
        <v>27</v>
      </c>
      <c r="G231" s="5" t="s">
        <v>19</v>
      </c>
      <c r="H231" s="5" t="s">
        <v>211</v>
      </c>
      <c r="I231" s="5" t="s">
        <v>212</v>
      </c>
      <c r="J231" s="4" t="s">
        <v>213</v>
      </c>
      <c r="K231" s="4" t="s">
        <v>23</v>
      </c>
      <c r="L231" s="10"/>
      <c r="M231" s="26" t="str">
        <f>HYPERLINK("https://www.bible.com/fr/audio-bible/152/PSA.105.S21","▶ Écouter AT")</f>
        <v>▶ Écouter AT</v>
      </c>
      <c r="N231" s="22" t="str">
        <f>HYPERLINK("https://www.bible.com/fr/audio-bible/152/REV.1.S21","▶ Écouter NT")</f>
        <v>▶ Écouter NT</v>
      </c>
      <c r="O231" s="27"/>
    </row>
    <row r="232" spans="1:15">
      <c r="A232" s="9">
        <v>231</v>
      </c>
      <c r="B232" s="5" t="s">
        <v>723</v>
      </c>
      <c r="C232" s="5">
        <v>33</v>
      </c>
      <c r="D232" s="4" t="s">
        <v>724</v>
      </c>
      <c r="E232" s="4" t="s">
        <v>725</v>
      </c>
      <c r="F232" s="5" t="s">
        <v>27</v>
      </c>
      <c r="G232" s="5" t="s">
        <v>342</v>
      </c>
      <c r="H232" s="5" t="s">
        <v>211</v>
      </c>
      <c r="I232" s="5" t="s">
        <v>212</v>
      </c>
      <c r="J232" s="4" t="s">
        <v>213</v>
      </c>
      <c r="K232" s="4" t="s">
        <v>23</v>
      </c>
      <c r="L232" s="10"/>
      <c r="M232" s="26" t="str">
        <f>HYPERLINK("https://www.bible.com/fr/audio-bible/152/PSA.108.S21","▶ Écouter AT")</f>
        <v>▶ Écouter AT</v>
      </c>
      <c r="N232" s="22" t="str">
        <f>HYPERLINK("https://www.bible.com/fr/audio-bible/152/REV.13.S21","▶ Écouter NT")</f>
        <v>▶ Écouter NT</v>
      </c>
      <c r="O232" s="27" t="str">
        <f>HYPERLINK("https://www.bible.com/fr/audio-bible/152/LUK.24.S21","▶ Écouter miroir")</f>
        <v>▶ Écouter miroir</v>
      </c>
    </row>
    <row r="233" spans="1:15">
      <c r="A233" s="9">
        <v>232</v>
      </c>
      <c r="B233" s="5" t="s">
        <v>726</v>
      </c>
      <c r="C233" s="5">
        <v>34</v>
      </c>
      <c r="D233" s="4" t="s">
        <v>727</v>
      </c>
      <c r="E233" s="4" t="s">
        <v>728</v>
      </c>
      <c r="F233" s="5" t="s">
        <v>27</v>
      </c>
      <c r="G233" s="5" t="s">
        <v>19</v>
      </c>
      <c r="H233" s="5" t="s">
        <v>211</v>
      </c>
      <c r="I233" s="5" t="s">
        <v>212</v>
      </c>
      <c r="J233" s="4" t="s">
        <v>213</v>
      </c>
      <c r="K233" s="4" t="s">
        <v>23</v>
      </c>
      <c r="L233" s="10"/>
      <c r="M233" s="26" t="str">
        <f>HYPERLINK("https://www.bible.com/fr/audio-bible/152/PSA.110.S21","▶ Écouter AT")</f>
        <v>▶ Écouter AT</v>
      </c>
      <c r="N233" s="22" t="str">
        <f>HYPERLINK("https://www.bible.com/fr/audio-bible/152/HEB.6.S21","▶ Écouter NT")</f>
        <v>▶ Écouter NT</v>
      </c>
      <c r="O233" s="27"/>
    </row>
    <row r="234" spans="1:15">
      <c r="A234" s="9">
        <v>233</v>
      </c>
      <c r="B234" s="5" t="s">
        <v>729</v>
      </c>
      <c r="C234" s="5">
        <v>34</v>
      </c>
      <c r="D234" s="4" t="s">
        <v>730</v>
      </c>
      <c r="E234" s="4" t="s">
        <v>731</v>
      </c>
      <c r="F234" s="5" t="s">
        <v>27</v>
      </c>
      <c r="G234" s="5" t="s">
        <v>342</v>
      </c>
      <c r="H234" s="5" t="s">
        <v>211</v>
      </c>
      <c r="I234" s="5" t="s">
        <v>212</v>
      </c>
      <c r="J234" s="4" t="s">
        <v>213</v>
      </c>
      <c r="K234" s="4" t="s">
        <v>23</v>
      </c>
      <c r="L234" s="10"/>
      <c r="M234" s="26" t="str">
        <f>HYPERLINK("https://www.bible.com/fr/audio-bible/152/PSA.113.S21","▶ Écouter AT")</f>
        <v>▶ Écouter AT</v>
      </c>
      <c r="N234" s="22" t="str">
        <f>HYPERLINK("https://www.bible.com/fr/audio-bible/152/REV.12.S21","▶ Écouter NT")</f>
        <v>▶ Écouter NT</v>
      </c>
      <c r="O234" s="27" t="str">
        <f>HYPERLINK("https://www.bible.com/fr/audio-bible/152/LUK.24.S21","▶ Écouter miroir")</f>
        <v>▶ Écouter miroir</v>
      </c>
    </row>
    <row r="235" spans="1:15">
      <c r="A235" s="9">
        <v>234</v>
      </c>
      <c r="B235" s="5" t="s">
        <v>732</v>
      </c>
      <c r="C235" s="5">
        <v>34</v>
      </c>
      <c r="D235" s="4" t="s">
        <v>733</v>
      </c>
      <c r="E235" s="4" t="s">
        <v>734</v>
      </c>
      <c r="F235" s="5" t="s">
        <v>27</v>
      </c>
      <c r="G235" s="5" t="s">
        <v>342</v>
      </c>
      <c r="H235" s="5" t="s">
        <v>211</v>
      </c>
      <c r="I235" s="5" t="s">
        <v>212</v>
      </c>
      <c r="J235" s="4" t="s">
        <v>213</v>
      </c>
      <c r="K235" s="4" t="s">
        <v>23</v>
      </c>
      <c r="L235" s="10"/>
      <c r="M235" s="26" t="str">
        <f>HYPERLINK("https://www.bible.com/fr/audio-bible/152/PSA.116.S21","▶ Écouter AT")</f>
        <v>▶ Écouter AT</v>
      </c>
      <c r="N235" s="22" t="str">
        <f>HYPERLINK("https://www.bible.com/fr/audio-bible/152/REV.3.S21","▶ Écouter NT")</f>
        <v>▶ Écouter NT</v>
      </c>
      <c r="O235" s="27" t="str">
        <f>HYPERLINK("https://www.bible.com/fr/audio-bible/152/LUK.24.S21","▶ Écouter miroir")</f>
        <v>▶ Écouter miroir</v>
      </c>
    </row>
    <row r="236" spans="1:15">
      <c r="A236" s="9">
        <v>235</v>
      </c>
      <c r="B236" s="5" t="s">
        <v>735</v>
      </c>
      <c r="C236" s="5">
        <v>34</v>
      </c>
      <c r="D236" s="4" t="s">
        <v>736</v>
      </c>
      <c r="E236" s="4" t="s">
        <v>737</v>
      </c>
      <c r="F236" s="5" t="s">
        <v>27</v>
      </c>
      <c r="G236" s="5" t="s">
        <v>342</v>
      </c>
      <c r="H236" s="5" t="s">
        <v>211</v>
      </c>
      <c r="I236" s="5" t="s">
        <v>212</v>
      </c>
      <c r="J236" s="4" t="s">
        <v>213</v>
      </c>
      <c r="K236" s="4" t="s">
        <v>23</v>
      </c>
      <c r="L236" s="10"/>
      <c r="M236" s="26" t="str">
        <f>HYPERLINK("https://www.bible.com/fr/audio-bible/152/PSA.118.S21","▶ Écouter AT")</f>
        <v>▶ Écouter AT</v>
      </c>
      <c r="N236" s="22" t="str">
        <f>HYPERLINK("https://www.bible.com/fr/audio-bible/152/PHP.2.S21","▶ Écouter NT")</f>
        <v>▶ Écouter NT</v>
      </c>
      <c r="O236" s="27" t="str">
        <f>HYPERLINK("https://www.bible.com/fr/audio-bible/152/LUK.24.S21","▶ Écouter miroir")</f>
        <v>▶ Écouter miroir</v>
      </c>
    </row>
    <row r="237" spans="1:15">
      <c r="A237" s="9">
        <v>236</v>
      </c>
      <c r="B237" s="5" t="s">
        <v>738</v>
      </c>
      <c r="C237" s="5">
        <v>34</v>
      </c>
      <c r="D237" s="4" t="s">
        <v>739</v>
      </c>
      <c r="E237" s="4" t="s">
        <v>740</v>
      </c>
      <c r="F237" s="5" t="s">
        <v>18</v>
      </c>
      <c r="G237" s="5" t="s">
        <v>19</v>
      </c>
      <c r="H237" s="5" t="s">
        <v>262</v>
      </c>
      <c r="I237" s="5" t="s">
        <v>89</v>
      </c>
      <c r="J237" s="4" t="s">
        <v>263</v>
      </c>
      <c r="K237" s="4" t="s">
        <v>23</v>
      </c>
      <c r="L237" s="10"/>
      <c r="M237" s="26" t="str">
        <f>HYPERLINK("https://www.bible.com/fr/audio-bible/152/PSA.121.S21","▶ Écouter AT")</f>
        <v>▶ Écouter AT</v>
      </c>
      <c r="N237" s="22" t="str">
        <f>HYPERLINK("https://www.bible.com/fr/audio-bible/152/JHN.4.S21","▶ Écouter NT")</f>
        <v>▶ Écouter NT</v>
      </c>
      <c r="O237" s="27"/>
    </row>
    <row r="238" spans="1:15">
      <c r="A238" s="9">
        <v>237</v>
      </c>
      <c r="B238" s="5" t="s">
        <v>741</v>
      </c>
      <c r="C238" s="5">
        <v>34</v>
      </c>
      <c r="D238" s="4" t="s">
        <v>742</v>
      </c>
      <c r="E238" s="4" t="s">
        <v>740</v>
      </c>
      <c r="F238" s="5" t="s">
        <v>18</v>
      </c>
      <c r="G238" s="5" t="s">
        <v>19</v>
      </c>
      <c r="H238" s="5" t="s">
        <v>262</v>
      </c>
      <c r="I238" s="5" t="s">
        <v>89</v>
      </c>
      <c r="J238" s="4" t="s">
        <v>263</v>
      </c>
      <c r="K238" s="4" t="s">
        <v>23</v>
      </c>
      <c r="L238" s="10"/>
      <c r="M238" s="26" t="str">
        <f>HYPERLINK("https://www.bible.com/fr/audio-bible/152/PSA.123.S21","▶ Écouter AT")</f>
        <v>▶ Écouter AT</v>
      </c>
      <c r="N238" s="22" t="str">
        <f>HYPERLINK("https://www.bible.com/fr/audio-bible/152/JHN.4.S21","▶ Écouter NT")</f>
        <v>▶ Écouter NT</v>
      </c>
      <c r="O238" s="27"/>
    </row>
    <row r="239" spans="1:15">
      <c r="A239" s="9">
        <v>238</v>
      </c>
      <c r="B239" s="5" t="s">
        <v>743</v>
      </c>
      <c r="C239" s="5">
        <v>34</v>
      </c>
      <c r="D239" s="4" t="s">
        <v>744</v>
      </c>
      <c r="E239" s="4" t="s">
        <v>740</v>
      </c>
      <c r="F239" s="5" t="s">
        <v>18</v>
      </c>
      <c r="G239" s="5" t="s">
        <v>19</v>
      </c>
      <c r="H239" s="5" t="s">
        <v>262</v>
      </c>
      <c r="I239" s="5" t="s">
        <v>89</v>
      </c>
      <c r="J239" s="4" t="s">
        <v>263</v>
      </c>
      <c r="K239" s="4" t="s">
        <v>23</v>
      </c>
      <c r="L239" s="10"/>
      <c r="M239" s="26" t="str">
        <f>HYPERLINK("https://www.bible.com/fr/audio-bible/152/PSA.126.S21","▶ Écouter AT")</f>
        <v>▶ Écouter AT</v>
      </c>
      <c r="N239" s="22" t="str">
        <f>HYPERLINK("https://www.bible.com/fr/audio-bible/152/JHN.4.S21","▶ Écouter NT")</f>
        <v>▶ Écouter NT</v>
      </c>
      <c r="O239" s="27"/>
    </row>
    <row r="240" spans="1:15">
      <c r="A240" s="9">
        <v>239</v>
      </c>
      <c r="B240" s="5" t="s">
        <v>745</v>
      </c>
      <c r="C240" s="5">
        <v>35</v>
      </c>
      <c r="D240" s="4" t="s">
        <v>746</v>
      </c>
      <c r="E240" s="4" t="s">
        <v>740</v>
      </c>
      <c r="F240" s="5" t="s">
        <v>18</v>
      </c>
      <c r="G240" s="5" t="s">
        <v>19</v>
      </c>
      <c r="H240" s="5" t="s">
        <v>262</v>
      </c>
      <c r="I240" s="5" t="s">
        <v>89</v>
      </c>
      <c r="J240" s="4" t="s">
        <v>263</v>
      </c>
      <c r="K240" s="4" t="s">
        <v>23</v>
      </c>
      <c r="L240" s="10"/>
      <c r="M240" s="26" t="str">
        <f>HYPERLINK("https://www.bible.com/fr/audio-bible/152/PSA.128.S21","▶ Écouter AT")</f>
        <v>▶ Écouter AT</v>
      </c>
      <c r="N240" s="22" t="str">
        <f>HYPERLINK("https://www.bible.com/fr/audio-bible/152/JHN.4.S21","▶ Écouter NT")</f>
        <v>▶ Écouter NT</v>
      </c>
      <c r="O240" s="27"/>
    </row>
    <row r="241" spans="1:15">
      <c r="A241" s="9">
        <v>240</v>
      </c>
      <c r="B241" s="5" t="s">
        <v>747</v>
      </c>
      <c r="C241" s="5">
        <v>35</v>
      </c>
      <c r="D241" s="4" t="s">
        <v>748</v>
      </c>
      <c r="E241" s="4" t="s">
        <v>740</v>
      </c>
      <c r="F241" s="5" t="s">
        <v>18</v>
      </c>
      <c r="G241" s="5" t="s">
        <v>19</v>
      </c>
      <c r="H241" s="5" t="s">
        <v>262</v>
      </c>
      <c r="I241" s="5" t="s">
        <v>89</v>
      </c>
      <c r="J241" s="4" t="s">
        <v>263</v>
      </c>
      <c r="K241" s="4" t="s">
        <v>23</v>
      </c>
      <c r="L241" s="10"/>
      <c r="M241" s="26" t="str">
        <f>HYPERLINK("https://www.bible.com/fr/audio-bible/152/PSA.131.S21","▶ Écouter AT")</f>
        <v>▶ Écouter AT</v>
      </c>
      <c r="N241" s="22" t="str">
        <f>HYPERLINK("https://www.bible.com/fr/audio-bible/152/JHN.4.S21","▶ Écouter NT")</f>
        <v>▶ Écouter NT</v>
      </c>
      <c r="O241" s="27"/>
    </row>
    <row r="242" spans="1:15">
      <c r="A242" s="9">
        <v>241</v>
      </c>
      <c r="B242" s="5" t="s">
        <v>749</v>
      </c>
      <c r="C242" s="5">
        <v>35</v>
      </c>
      <c r="D242" s="4" t="s">
        <v>750</v>
      </c>
      <c r="E242" s="4" t="s">
        <v>751</v>
      </c>
      <c r="F242" s="5" t="s">
        <v>27</v>
      </c>
      <c r="G242" s="5" t="s">
        <v>19</v>
      </c>
      <c r="H242" s="5" t="s">
        <v>752</v>
      </c>
      <c r="I242" s="5" t="s">
        <v>212</v>
      </c>
      <c r="J242" s="4" t="s">
        <v>753</v>
      </c>
      <c r="K242" s="4" t="s">
        <v>23</v>
      </c>
      <c r="L242" s="10"/>
      <c r="M242" s="26" t="str">
        <f>HYPERLINK("https://www.bible.com/fr/audio-bible/152/PSA.133.S21","▶ Écouter AT")</f>
        <v>▶ Écouter AT</v>
      </c>
      <c r="N242" s="22" t="str">
        <f>HYPERLINK("https://www.bible.com/fr/audio-bible/152/REV.22.S21","▶ Écouter NT")</f>
        <v>▶ Écouter NT</v>
      </c>
      <c r="O242" s="27"/>
    </row>
    <row r="243" spans="1:15">
      <c r="A243" s="9">
        <v>242</v>
      </c>
      <c r="B243" s="5" t="s">
        <v>754</v>
      </c>
      <c r="C243" s="5">
        <v>35</v>
      </c>
      <c r="D243" s="4" t="s">
        <v>755</v>
      </c>
      <c r="E243" s="4" t="s">
        <v>756</v>
      </c>
      <c r="F243" s="5" t="s">
        <v>27</v>
      </c>
      <c r="G243" s="5" t="s">
        <v>757</v>
      </c>
      <c r="H243" s="5" t="s">
        <v>752</v>
      </c>
      <c r="I243" s="5" t="s">
        <v>212</v>
      </c>
      <c r="J243" s="4" t="s">
        <v>753</v>
      </c>
      <c r="K243" s="4" t="s">
        <v>23</v>
      </c>
      <c r="L243" s="10"/>
      <c r="M243" s="26" t="str">
        <f>HYPERLINK("https://www.bible.com/fr/audio-bible/152/PSA.136.S21","▶ Écouter AT")</f>
        <v>▶ Écouter AT</v>
      </c>
      <c r="N243" s="22" t="str">
        <f>HYPERLINK("https://www.bible.com/fr/audio-bible/152/1CO.15.S21","▶ Écouter NT")</f>
        <v>▶ Écouter NT</v>
      </c>
      <c r="O243" s="27" t="str">
        <f>HYPERLINK("https://www.bible.com/fr/audio-bible/152/REV.19.S21","▶ Écouter miroir")</f>
        <v>▶ Écouter miroir</v>
      </c>
    </row>
    <row r="244" spans="1:15">
      <c r="A244" s="9">
        <v>243</v>
      </c>
      <c r="B244" s="5" t="s">
        <v>758</v>
      </c>
      <c r="C244" s="5">
        <v>35</v>
      </c>
      <c r="D244" s="4" t="s">
        <v>759</v>
      </c>
      <c r="E244" s="4" t="s">
        <v>757</v>
      </c>
      <c r="F244" s="5" t="s">
        <v>18</v>
      </c>
      <c r="G244" s="5" t="s">
        <v>19</v>
      </c>
      <c r="H244" s="5" t="s">
        <v>752</v>
      </c>
      <c r="I244" s="5" t="s">
        <v>212</v>
      </c>
      <c r="J244" s="4" t="s">
        <v>753</v>
      </c>
      <c r="K244" s="4" t="s">
        <v>23</v>
      </c>
      <c r="L244" s="10"/>
      <c r="M244" s="26" t="str">
        <f>HYPERLINK("https://www.bible.com/fr/audio-bible/152/PSA.138.S21","▶ Écouter AT")</f>
        <v>▶ Écouter AT</v>
      </c>
      <c r="N244" s="22" t="str">
        <f>HYPERLINK("https://www.bible.com/fr/audio-bible/152/REV.19.S21","▶ Écouter NT")</f>
        <v>▶ Écouter NT</v>
      </c>
      <c r="O244" s="27"/>
    </row>
    <row r="245" spans="1:15">
      <c r="A245" s="9">
        <v>244</v>
      </c>
      <c r="B245" s="5" t="s">
        <v>760</v>
      </c>
      <c r="C245" s="5">
        <v>35</v>
      </c>
      <c r="D245" s="4" t="s">
        <v>761</v>
      </c>
      <c r="E245" s="4" t="s">
        <v>762</v>
      </c>
      <c r="F245" s="5" t="s">
        <v>27</v>
      </c>
      <c r="G245" s="5" t="s">
        <v>19</v>
      </c>
      <c r="H245" s="5" t="s">
        <v>752</v>
      </c>
      <c r="I245" s="5" t="s">
        <v>212</v>
      </c>
      <c r="J245" s="4" t="s">
        <v>753</v>
      </c>
      <c r="K245" s="4" t="s">
        <v>23</v>
      </c>
      <c r="L245" s="10"/>
      <c r="M245" s="26" t="str">
        <f>HYPERLINK("https://www.bible.com/fr/audio-bible/152/PSA.141.S21","▶ Écouter AT")</f>
        <v>▶ Écouter AT</v>
      </c>
      <c r="N245" s="22" t="str">
        <f>HYPERLINK("https://www.bible.com/fr/audio-bible/152/REV.20.S21","▶ Écouter NT")</f>
        <v>▶ Écouter NT</v>
      </c>
      <c r="O245" s="27"/>
    </row>
    <row r="246" spans="1:15">
      <c r="A246" s="9">
        <v>245</v>
      </c>
      <c r="B246" s="5" t="s">
        <v>763</v>
      </c>
      <c r="C246" s="5">
        <v>35</v>
      </c>
      <c r="D246" s="4" t="s">
        <v>764</v>
      </c>
      <c r="E246" s="4" t="s">
        <v>765</v>
      </c>
      <c r="F246" s="5" t="s">
        <v>27</v>
      </c>
      <c r="G246" s="5" t="s">
        <v>19</v>
      </c>
      <c r="H246" s="5" t="s">
        <v>752</v>
      </c>
      <c r="I246" s="5" t="s">
        <v>212</v>
      </c>
      <c r="J246" s="4" t="s">
        <v>753</v>
      </c>
      <c r="K246" s="4" t="s">
        <v>23</v>
      </c>
      <c r="L246" s="10"/>
      <c r="M246" s="26" t="str">
        <f>HYPERLINK("https://www.bible.com/fr/audio-bible/152/PSA.144.S21","▶ Écouter AT")</f>
        <v>▶ Écouter AT</v>
      </c>
      <c r="N246" s="22" t="str">
        <f>HYPERLINK("https://www.bible.com/fr/audio-bible/152/REV.19.S21","▶ Écouter NT")</f>
        <v>▶ Écouter NT</v>
      </c>
      <c r="O246" s="27"/>
    </row>
    <row r="247" spans="1:15" ht="27.6">
      <c r="A247" s="9">
        <v>246</v>
      </c>
      <c r="B247" s="5" t="s">
        <v>766</v>
      </c>
      <c r="C247" s="5">
        <v>36</v>
      </c>
      <c r="D247" s="4" t="s">
        <v>767</v>
      </c>
      <c r="E247" s="4" t="s">
        <v>768</v>
      </c>
      <c r="F247" s="5" t="s">
        <v>27</v>
      </c>
      <c r="G247" s="5" t="s">
        <v>19</v>
      </c>
      <c r="H247" s="5" t="s">
        <v>20</v>
      </c>
      <c r="I247" s="5" t="s">
        <v>21</v>
      </c>
      <c r="J247" s="4" t="s">
        <v>22</v>
      </c>
      <c r="K247" s="4" t="s">
        <v>23</v>
      </c>
      <c r="L247" s="10"/>
      <c r="M247" s="26" t="str">
        <f>HYPERLINK("https://www.bible.com/fr/audio-bible/152/PSA.146.S21","▶ Écouter AT")</f>
        <v>▶ Écouter AT</v>
      </c>
      <c r="N247" s="22" t="str">
        <f>HYPERLINK("https://www.bible.com/fr/audio-bible/152/REV.5.S21","▶ Écouter NT")</f>
        <v>▶ Écouter NT</v>
      </c>
      <c r="O247" s="27"/>
    </row>
    <row r="248" spans="1:15" ht="27.6">
      <c r="A248" s="9">
        <v>247</v>
      </c>
      <c r="B248" s="5" t="s">
        <v>769</v>
      </c>
      <c r="C248" s="5">
        <v>36</v>
      </c>
      <c r="D248" s="4" t="s">
        <v>770</v>
      </c>
      <c r="E248" s="4" t="s">
        <v>771</v>
      </c>
      <c r="F248" s="5" t="s">
        <v>27</v>
      </c>
      <c r="G248" s="5" t="s">
        <v>19</v>
      </c>
      <c r="H248" s="5" t="s">
        <v>20</v>
      </c>
      <c r="I248" s="5" t="s">
        <v>21</v>
      </c>
      <c r="J248" s="4" t="s">
        <v>22</v>
      </c>
      <c r="K248" s="4" t="s">
        <v>23</v>
      </c>
      <c r="L248" s="10"/>
      <c r="M248" s="26" t="str">
        <f>HYPERLINK("https://www.bible.com/fr/audio-bible/152/PSA.149.S21","▶ Écouter AT")</f>
        <v>▶ Écouter AT</v>
      </c>
      <c r="N248" s="22" t="str">
        <f>HYPERLINK("https://www.bible.com/fr/audio-bible/152/REV.4.S21","▶ Écouter NT")</f>
        <v>▶ Écouter NT</v>
      </c>
      <c r="O248" s="27"/>
    </row>
    <row r="249" spans="1:15" ht="27.6">
      <c r="A249" s="9">
        <v>248</v>
      </c>
      <c r="B249" s="5" t="s">
        <v>772</v>
      </c>
      <c r="C249" s="5">
        <v>36</v>
      </c>
      <c r="D249" s="4" t="s">
        <v>773</v>
      </c>
      <c r="E249" s="4" t="s">
        <v>774</v>
      </c>
      <c r="F249" s="5" t="s">
        <v>27</v>
      </c>
      <c r="G249" s="5" t="s">
        <v>603</v>
      </c>
      <c r="H249" s="5" t="s">
        <v>604</v>
      </c>
      <c r="I249" s="5" t="s">
        <v>89</v>
      </c>
      <c r="J249" s="4" t="s">
        <v>605</v>
      </c>
      <c r="K249" s="4" t="s">
        <v>23</v>
      </c>
      <c r="L249" s="10"/>
      <c r="M249" s="26" t="str">
        <f>HYPERLINK("https://www.bible.com/fr/audio-bible/152/PRO.1.S21","▶ Écouter AT")</f>
        <v>▶ Écouter AT</v>
      </c>
      <c r="N249" s="22" t="str">
        <f>HYPERLINK("https://www.bible.com/fr/audio-bible/152/EPH.6.S21","▶ Écouter NT")</f>
        <v>▶ Écouter NT</v>
      </c>
      <c r="O249" s="27" t="str">
        <f>HYPERLINK("https://www.bible.com/fr/audio-bible/152/1CO.1.S21","▶ Écouter miroir")</f>
        <v>▶ Écouter miroir</v>
      </c>
    </row>
    <row r="250" spans="1:15" ht="27.6">
      <c r="A250" s="9">
        <v>249</v>
      </c>
      <c r="B250" s="5" t="s">
        <v>775</v>
      </c>
      <c r="C250" s="5">
        <v>36</v>
      </c>
      <c r="D250" s="4" t="s">
        <v>776</v>
      </c>
      <c r="E250" s="4" t="s">
        <v>603</v>
      </c>
      <c r="F250" s="5" t="s">
        <v>18</v>
      </c>
      <c r="G250" s="5" t="s">
        <v>19</v>
      </c>
      <c r="H250" s="5" t="s">
        <v>604</v>
      </c>
      <c r="I250" s="5" t="s">
        <v>89</v>
      </c>
      <c r="J250" s="4" t="s">
        <v>605</v>
      </c>
      <c r="K250" s="4" t="s">
        <v>23</v>
      </c>
      <c r="L250" s="10"/>
      <c r="M250" s="26" t="str">
        <f>HYPERLINK("https://www.bible.com/fr/audio-bible/152/PRO.4.S21","▶ Écouter AT")</f>
        <v>▶ Écouter AT</v>
      </c>
      <c r="N250" s="22" t="str">
        <f>HYPERLINK("https://www.bible.com/fr/audio-bible/152/1CO.1.S21","▶ Écouter NT")</f>
        <v>▶ Écouter NT</v>
      </c>
      <c r="O250" s="27"/>
    </row>
    <row r="251" spans="1:15" ht="27.6">
      <c r="A251" s="9">
        <v>250</v>
      </c>
      <c r="B251" s="5" t="s">
        <v>777</v>
      </c>
      <c r="C251" s="5">
        <v>36</v>
      </c>
      <c r="D251" s="4" t="s">
        <v>778</v>
      </c>
      <c r="E251" s="4" t="s">
        <v>603</v>
      </c>
      <c r="F251" s="5" t="s">
        <v>18</v>
      </c>
      <c r="G251" s="5" t="s">
        <v>19</v>
      </c>
      <c r="H251" s="5" t="s">
        <v>604</v>
      </c>
      <c r="I251" s="5" t="s">
        <v>89</v>
      </c>
      <c r="J251" s="4" t="s">
        <v>605</v>
      </c>
      <c r="K251" s="4" t="s">
        <v>23</v>
      </c>
      <c r="L251" s="10"/>
      <c r="M251" s="26" t="str">
        <f>HYPERLINK("https://www.bible.com/fr/audio-bible/152/PRO.6.S21","▶ Écouter AT")</f>
        <v>▶ Écouter AT</v>
      </c>
      <c r="N251" s="22" t="str">
        <f>HYPERLINK("https://www.bible.com/fr/audio-bible/152/1CO.1.S21","▶ Écouter NT")</f>
        <v>▶ Écouter NT</v>
      </c>
      <c r="O251" s="27"/>
    </row>
    <row r="252" spans="1:15">
      <c r="A252" s="9">
        <v>251</v>
      </c>
      <c r="B252" s="5" t="s">
        <v>779</v>
      </c>
      <c r="C252" s="5">
        <v>36</v>
      </c>
      <c r="D252" s="4" t="s">
        <v>780</v>
      </c>
      <c r="E252" s="4" t="s">
        <v>781</v>
      </c>
      <c r="F252" s="5" t="s">
        <v>27</v>
      </c>
      <c r="G252" s="5" t="s">
        <v>267</v>
      </c>
      <c r="H252" s="5" t="s">
        <v>226</v>
      </c>
      <c r="I252" s="5" t="s">
        <v>89</v>
      </c>
      <c r="J252" s="4" t="s">
        <v>227</v>
      </c>
      <c r="K252" s="4" t="s">
        <v>23</v>
      </c>
      <c r="L252" s="10"/>
      <c r="M252" s="26" t="str">
        <f>HYPERLINK("https://www.bible.com/fr/audio-bible/152/PRO.9.S21","▶ Écouter AT")</f>
        <v>▶ Écouter AT</v>
      </c>
      <c r="N252" s="22" t="str">
        <f>HYPERLINK("https://www.bible.com/fr/audio-bible/152/JAS.1.S21","▶ Écouter NT")</f>
        <v>▶ Écouter NT</v>
      </c>
      <c r="O252" s="27" t="str">
        <f>HYPERLINK("https://www.bible.com/fr/audio-bible/152/JAS.2.S21","▶ Écouter miroir")</f>
        <v>▶ Écouter miroir</v>
      </c>
    </row>
    <row r="253" spans="1:15">
      <c r="A253" s="9">
        <v>252</v>
      </c>
      <c r="B253" s="5" t="s">
        <v>782</v>
      </c>
      <c r="C253" s="5">
        <v>36</v>
      </c>
      <c r="D253" s="4" t="s">
        <v>783</v>
      </c>
      <c r="E253" s="4" t="s">
        <v>267</v>
      </c>
      <c r="F253" s="5" t="s">
        <v>18</v>
      </c>
      <c r="G253" s="5" t="s">
        <v>19</v>
      </c>
      <c r="H253" s="5" t="s">
        <v>226</v>
      </c>
      <c r="I253" s="5" t="s">
        <v>89</v>
      </c>
      <c r="J253" s="4" t="s">
        <v>227</v>
      </c>
      <c r="K253" s="4" t="s">
        <v>23</v>
      </c>
      <c r="L253" s="10"/>
      <c r="M253" s="26" t="str">
        <f>HYPERLINK("https://www.bible.com/fr/audio-bible/152/PRO.11.S21","▶ Écouter AT")</f>
        <v>▶ Écouter AT</v>
      </c>
      <c r="N253" s="22" t="str">
        <f>HYPERLINK("https://www.bible.com/fr/audio-bible/152/JAS.2.S21","▶ Écouter NT")</f>
        <v>▶ Écouter NT</v>
      </c>
      <c r="O253" s="27"/>
    </row>
    <row r="254" spans="1:15">
      <c r="A254" s="9">
        <v>253</v>
      </c>
      <c r="B254" s="5" t="s">
        <v>784</v>
      </c>
      <c r="C254" s="5">
        <v>37</v>
      </c>
      <c r="D254" s="4" t="s">
        <v>785</v>
      </c>
      <c r="E254" s="4" t="s">
        <v>267</v>
      </c>
      <c r="F254" s="5" t="s">
        <v>18</v>
      </c>
      <c r="G254" s="5" t="s">
        <v>19</v>
      </c>
      <c r="H254" s="5" t="s">
        <v>226</v>
      </c>
      <c r="I254" s="5" t="s">
        <v>89</v>
      </c>
      <c r="J254" s="4" t="s">
        <v>227</v>
      </c>
      <c r="K254" s="4" t="s">
        <v>23</v>
      </c>
      <c r="L254" s="10"/>
      <c r="M254" s="26" t="str">
        <f>HYPERLINK("https://www.bible.com/fr/audio-bible/152/PRO.14.S21","▶ Écouter AT")</f>
        <v>▶ Écouter AT</v>
      </c>
      <c r="N254" s="22" t="str">
        <f>HYPERLINK("https://www.bible.com/fr/audio-bible/152/JAS.2.S21","▶ Écouter NT")</f>
        <v>▶ Écouter NT</v>
      </c>
      <c r="O254" s="27"/>
    </row>
    <row r="255" spans="1:15">
      <c r="A255" s="9">
        <v>254</v>
      </c>
      <c r="B255" s="5" t="s">
        <v>786</v>
      </c>
      <c r="C255" s="5">
        <v>37</v>
      </c>
      <c r="D255" s="4" t="s">
        <v>787</v>
      </c>
      <c r="E255" s="4" t="s">
        <v>267</v>
      </c>
      <c r="F255" s="5" t="s">
        <v>18</v>
      </c>
      <c r="G255" s="5" t="s">
        <v>19</v>
      </c>
      <c r="H255" s="5" t="s">
        <v>226</v>
      </c>
      <c r="I255" s="5" t="s">
        <v>89</v>
      </c>
      <c r="J255" s="4" t="s">
        <v>227</v>
      </c>
      <c r="K255" s="4" t="s">
        <v>23</v>
      </c>
      <c r="L255" s="10"/>
      <c r="M255" s="26" t="str">
        <f>HYPERLINK("https://www.bible.com/fr/audio-bible/152/PRO.16.S21","▶ Écouter AT")</f>
        <v>▶ Écouter AT</v>
      </c>
      <c r="N255" s="22" t="str">
        <f>HYPERLINK("https://www.bible.com/fr/audio-bible/152/JAS.2.S21","▶ Écouter NT")</f>
        <v>▶ Écouter NT</v>
      </c>
      <c r="O255" s="27"/>
    </row>
    <row r="256" spans="1:15">
      <c r="A256" s="9">
        <v>255</v>
      </c>
      <c r="B256" s="5" t="s">
        <v>788</v>
      </c>
      <c r="C256" s="5">
        <v>37</v>
      </c>
      <c r="D256" s="4" t="s">
        <v>789</v>
      </c>
      <c r="E256" s="4" t="s">
        <v>267</v>
      </c>
      <c r="F256" s="5" t="s">
        <v>18</v>
      </c>
      <c r="G256" s="5" t="s">
        <v>19</v>
      </c>
      <c r="H256" s="5" t="s">
        <v>226</v>
      </c>
      <c r="I256" s="5" t="s">
        <v>89</v>
      </c>
      <c r="J256" s="4" t="s">
        <v>227</v>
      </c>
      <c r="K256" s="4" t="s">
        <v>23</v>
      </c>
      <c r="L256" s="10"/>
      <c r="M256" s="26" t="str">
        <f>HYPERLINK("https://www.bible.com/fr/audio-bible/152/PRO.19.S21","▶ Écouter AT")</f>
        <v>▶ Écouter AT</v>
      </c>
      <c r="N256" s="22" t="str">
        <f>HYPERLINK("https://www.bible.com/fr/audio-bible/152/JAS.2.S21","▶ Écouter NT")</f>
        <v>▶ Écouter NT</v>
      </c>
      <c r="O256" s="27"/>
    </row>
    <row r="257" spans="1:15">
      <c r="A257" s="9">
        <v>256</v>
      </c>
      <c r="B257" s="5" t="s">
        <v>790</v>
      </c>
      <c r="C257" s="5">
        <v>37</v>
      </c>
      <c r="D257" s="4" t="s">
        <v>791</v>
      </c>
      <c r="E257" s="4" t="s">
        <v>792</v>
      </c>
      <c r="F257" s="5" t="s">
        <v>27</v>
      </c>
      <c r="G257" s="5" t="s">
        <v>267</v>
      </c>
      <c r="H257" s="5" t="s">
        <v>226</v>
      </c>
      <c r="I257" s="5" t="s">
        <v>89</v>
      </c>
      <c r="J257" s="4" t="s">
        <v>227</v>
      </c>
      <c r="K257" s="4" t="s">
        <v>23</v>
      </c>
      <c r="L257" s="10"/>
      <c r="M257" s="26" t="str">
        <f>HYPERLINK("https://www.bible.com/fr/audio-bible/152/PRO.22.S21","▶ Écouter AT")</f>
        <v>▶ Écouter AT</v>
      </c>
      <c r="N257" s="22" t="str">
        <f>HYPERLINK("https://www.bible.com/fr/audio-bible/152/JAS.3.S21","▶ Écouter NT")</f>
        <v>▶ Écouter NT</v>
      </c>
      <c r="O257" s="27" t="str">
        <f>HYPERLINK("https://www.bible.com/fr/audio-bible/152/JAS.2.S21","▶ Écouter miroir")</f>
        <v>▶ Écouter miroir</v>
      </c>
    </row>
    <row r="258" spans="1:15">
      <c r="A258" s="9">
        <v>257</v>
      </c>
      <c r="B258" s="5" t="s">
        <v>793</v>
      </c>
      <c r="C258" s="5">
        <v>37</v>
      </c>
      <c r="D258" s="4" t="s">
        <v>794</v>
      </c>
      <c r="E258" s="4" t="s">
        <v>267</v>
      </c>
      <c r="F258" s="5" t="s">
        <v>18</v>
      </c>
      <c r="G258" s="5" t="s">
        <v>19</v>
      </c>
      <c r="H258" s="5" t="s">
        <v>226</v>
      </c>
      <c r="I258" s="5" t="s">
        <v>89</v>
      </c>
      <c r="J258" s="4" t="s">
        <v>227</v>
      </c>
      <c r="K258" s="4" t="s">
        <v>23</v>
      </c>
      <c r="L258" s="10"/>
      <c r="M258" s="26" t="str">
        <f>HYPERLINK("https://www.bible.com/fr/audio-bible/152/PRO.24.S21","▶ Écouter AT")</f>
        <v>▶ Écouter AT</v>
      </c>
      <c r="N258" s="22" t="str">
        <f>HYPERLINK("https://www.bible.com/fr/audio-bible/152/JAS.2.S21","▶ Écouter NT")</f>
        <v>▶ Écouter NT</v>
      </c>
      <c r="O258" s="27"/>
    </row>
    <row r="259" spans="1:15">
      <c r="A259" s="9">
        <v>258</v>
      </c>
      <c r="B259" s="5" t="s">
        <v>795</v>
      </c>
      <c r="C259" s="5">
        <v>37</v>
      </c>
      <c r="D259" s="4" t="s">
        <v>796</v>
      </c>
      <c r="E259" s="4" t="s">
        <v>267</v>
      </c>
      <c r="F259" s="5" t="s">
        <v>18</v>
      </c>
      <c r="G259" s="5" t="s">
        <v>19</v>
      </c>
      <c r="H259" s="5" t="s">
        <v>226</v>
      </c>
      <c r="I259" s="5" t="s">
        <v>89</v>
      </c>
      <c r="J259" s="4" t="s">
        <v>227</v>
      </c>
      <c r="K259" s="4" t="s">
        <v>23</v>
      </c>
      <c r="L259" s="10"/>
      <c r="M259" s="26" t="str">
        <f>HYPERLINK("https://www.bible.com/fr/audio-bible/152/PRO.27.S21","▶ Écouter AT")</f>
        <v>▶ Écouter AT</v>
      </c>
      <c r="N259" s="22" t="str">
        <f>HYPERLINK("https://www.bible.com/fr/audio-bible/152/JAS.2.S21","▶ Écouter NT")</f>
        <v>▶ Écouter NT</v>
      </c>
      <c r="O259" s="27"/>
    </row>
    <row r="260" spans="1:15">
      <c r="A260" s="9">
        <v>259</v>
      </c>
      <c r="B260" s="5" t="s">
        <v>797</v>
      </c>
      <c r="C260" s="5">
        <v>37</v>
      </c>
      <c r="D260" s="4" t="s">
        <v>798</v>
      </c>
      <c r="E260" s="4" t="s">
        <v>799</v>
      </c>
      <c r="F260" s="5" t="s">
        <v>27</v>
      </c>
      <c r="G260" s="5" t="s">
        <v>267</v>
      </c>
      <c r="H260" s="5" t="s">
        <v>226</v>
      </c>
      <c r="I260" s="5" t="s">
        <v>89</v>
      </c>
      <c r="J260" s="4" t="s">
        <v>227</v>
      </c>
      <c r="K260" s="4" t="s">
        <v>23</v>
      </c>
      <c r="L260" s="10"/>
      <c r="M260" s="26" t="str">
        <f>HYPERLINK("https://www.bible.com/fr/audio-bible/152/PRO.29.S21","▶ Écouter AT")</f>
        <v>▶ Écouter AT</v>
      </c>
      <c r="N260" s="22" t="str">
        <f>HYPERLINK("https://www.bible.com/fr/audio-bible/152/1TI.6.S21","▶ Écouter NT")</f>
        <v>▶ Écouter NT</v>
      </c>
      <c r="O260" s="27" t="str">
        <f>HYPERLINK("https://www.bible.com/fr/audio-bible/152/JAS.2.S21","▶ Écouter miroir")</f>
        <v>▶ Écouter miroir</v>
      </c>
    </row>
    <row r="261" spans="1:15" ht="27.6">
      <c r="A261" s="9">
        <v>260</v>
      </c>
      <c r="B261" s="5" t="s">
        <v>800</v>
      </c>
      <c r="C261" s="5">
        <v>38</v>
      </c>
      <c r="D261" s="4" t="s">
        <v>801</v>
      </c>
      <c r="E261" s="4" t="s">
        <v>603</v>
      </c>
      <c r="F261" s="5" t="s">
        <v>18</v>
      </c>
      <c r="G261" s="5" t="s">
        <v>19</v>
      </c>
      <c r="H261" s="5" t="s">
        <v>604</v>
      </c>
      <c r="I261" s="5" t="s">
        <v>89</v>
      </c>
      <c r="J261" s="4" t="s">
        <v>605</v>
      </c>
      <c r="K261" s="4" t="s">
        <v>23</v>
      </c>
      <c r="L261" s="10"/>
      <c r="M261" s="26" t="str">
        <f>HYPERLINK("https://www.bible.com/fr/audio-bible/152/ECC.1.S21","▶ Écouter AT")</f>
        <v>▶ Écouter AT</v>
      </c>
      <c r="N261" s="22" t="str">
        <f>HYPERLINK("https://www.bible.com/fr/audio-bible/152/1CO.1.S21","▶ Écouter NT")</f>
        <v>▶ Écouter NT</v>
      </c>
      <c r="O261" s="27"/>
    </row>
    <row r="262" spans="1:15" ht="27.6">
      <c r="A262" s="9">
        <v>261</v>
      </c>
      <c r="B262" s="5" t="s">
        <v>802</v>
      </c>
      <c r="C262" s="5">
        <v>38</v>
      </c>
      <c r="D262" s="4" t="s">
        <v>803</v>
      </c>
      <c r="E262" s="4" t="s">
        <v>603</v>
      </c>
      <c r="F262" s="5" t="s">
        <v>18</v>
      </c>
      <c r="G262" s="5" t="s">
        <v>19</v>
      </c>
      <c r="H262" s="5" t="s">
        <v>604</v>
      </c>
      <c r="I262" s="5" t="s">
        <v>89</v>
      </c>
      <c r="J262" s="4" t="s">
        <v>605</v>
      </c>
      <c r="K262" s="4" t="s">
        <v>23</v>
      </c>
      <c r="L262" s="10"/>
      <c r="M262" s="26" t="str">
        <f>HYPERLINK("https://www.bible.com/fr/audio-bible/152/ECC.3.S21","▶ Écouter AT")</f>
        <v>▶ Écouter AT</v>
      </c>
      <c r="N262" s="22" t="str">
        <f>HYPERLINK("https://www.bible.com/fr/audio-bible/152/1CO.1.S21","▶ Écouter NT")</f>
        <v>▶ Écouter NT</v>
      </c>
      <c r="O262" s="27"/>
    </row>
    <row r="263" spans="1:15" ht="27.6">
      <c r="A263" s="9">
        <v>262</v>
      </c>
      <c r="B263" s="5" t="s">
        <v>804</v>
      </c>
      <c r="C263" s="5">
        <v>38</v>
      </c>
      <c r="D263" s="4" t="s">
        <v>805</v>
      </c>
      <c r="E263" s="4" t="s">
        <v>806</v>
      </c>
      <c r="F263" s="5" t="s">
        <v>27</v>
      </c>
      <c r="G263" s="5" t="s">
        <v>603</v>
      </c>
      <c r="H263" s="5" t="s">
        <v>604</v>
      </c>
      <c r="I263" s="5" t="s">
        <v>89</v>
      </c>
      <c r="J263" s="4" t="s">
        <v>605</v>
      </c>
      <c r="K263" s="4" t="s">
        <v>23</v>
      </c>
      <c r="L263" s="10"/>
      <c r="M263" s="26" t="str">
        <f>HYPERLINK("https://www.bible.com/fr/audio-bible/152/ECC.6.S21","▶ Écouter AT")</f>
        <v>▶ Écouter AT</v>
      </c>
      <c r="N263" s="22" t="str">
        <f>HYPERLINK("https://www.bible.com/fr/audio-bible/152/2TH.3.S21","▶ Écouter NT")</f>
        <v>▶ Écouter NT</v>
      </c>
      <c r="O263" s="27" t="str">
        <f>HYPERLINK("https://www.bible.com/fr/audio-bible/152/1CO.1.S21","▶ Écouter miroir")</f>
        <v>▶ Écouter miroir</v>
      </c>
    </row>
    <row r="264" spans="1:15" ht="27.6">
      <c r="A264" s="9">
        <v>263</v>
      </c>
      <c r="B264" s="5" t="s">
        <v>807</v>
      </c>
      <c r="C264" s="5">
        <v>38</v>
      </c>
      <c r="D264" s="4" t="s">
        <v>808</v>
      </c>
      <c r="E264" s="4" t="s">
        <v>603</v>
      </c>
      <c r="F264" s="5" t="s">
        <v>18</v>
      </c>
      <c r="G264" s="5" t="s">
        <v>19</v>
      </c>
      <c r="H264" s="5" t="s">
        <v>604</v>
      </c>
      <c r="I264" s="5" t="s">
        <v>89</v>
      </c>
      <c r="J264" s="4" t="s">
        <v>605</v>
      </c>
      <c r="K264" s="4" t="s">
        <v>23</v>
      </c>
      <c r="L264" s="10"/>
      <c r="M264" s="26" t="str">
        <f>HYPERLINK("https://www.bible.com/fr/audio-bible/152/ECC.8.S21","▶ Écouter AT")</f>
        <v>▶ Écouter AT</v>
      </c>
      <c r="N264" s="22" t="str">
        <f>HYPERLINK("https://www.bible.com/fr/audio-bible/152/1CO.1.S21","▶ Écouter NT")</f>
        <v>▶ Écouter NT</v>
      </c>
      <c r="O264" s="27"/>
    </row>
    <row r="265" spans="1:15" ht="27.6">
      <c r="A265" s="9">
        <v>264</v>
      </c>
      <c r="B265" s="5" t="s">
        <v>809</v>
      </c>
      <c r="C265" s="5">
        <v>38</v>
      </c>
      <c r="D265" s="4" t="s">
        <v>810</v>
      </c>
      <c r="E265" s="4" t="s">
        <v>603</v>
      </c>
      <c r="F265" s="5" t="s">
        <v>18</v>
      </c>
      <c r="G265" s="5" t="s">
        <v>19</v>
      </c>
      <c r="H265" s="5" t="s">
        <v>604</v>
      </c>
      <c r="I265" s="5" t="s">
        <v>89</v>
      </c>
      <c r="J265" s="4" t="s">
        <v>605</v>
      </c>
      <c r="K265" s="4" t="s">
        <v>23</v>
      </c>
      <c r="L265" s="10"/>
      <c r="M265" s="26" t="str">
        <f>HYPERLINK("https://www.bible.com/fr/audio-bible/152/ECC.11.S21","▶ Écouter AT")</f>
        <v>▶ Écouter AT</v>
      </c>
      <c r="N265" s="22" t="str">
        <f>HYPERLINK("https://www.bible.com/fr/audio-bible/152/1CO.1.S21","▶ Écouter NT")</f>
        <v>▶ Écouter NT</v>
      </c>
      <c r="O265" s="27"/>
    </row>
    <row r="266" spans="1:15">
      <c r="A266" s="9">
        <v>265</v>
      </c>
      <c r="B266" s="5" t="s">
        <v>811</v>
      </c>
      <c r="C266" s="5">
        <v>38</v>
      </c>
      <c r="D266" s="4" t="s">
        <v>812</v>
      </c>
      <c r="E266" s="4" t="s">
        <v>813</v>
      </c>
      <c r="F266" s="5" t="s">
        <v>27</v>
      </c>
      <c r="G266" s="5" t="s">
        <v>19</v>
      </c>
      <c r="H266" s="5" t="s">
        <v>814</v>
      </c>
      <c r="I266" s="5" t="s">
        <v>18</v>
      </c>
      <c r="J266" s="4" t="s">
        <v>815</v>
      </c>
      <c r="K266" s="4" t="s">
        <v>23</v>
      </c>
      <c r="L266" s="10"/>
      <c r="M266" s="26" t="str">
        <f>HYPERLINK("https://www.bible.com/fr/audio-bible/152/SNG.1.S21","▶ Écouter AT")</f>
        <v>▶ Écouter AT</v>
      </c>
      <c r="N266" s="22" t="str">
        <f>HYPERLINK("https://www.bible.com/fr/audio-bible/152/EPH.5.S21","▶ Écouter NT")</f>
        <v>▶ Écouter NT</v>
      </c>
      <c r="O266" s="27"/>
    </row>
    <row r="267" spans="1:15">
      <c r="A267" s="9">
        <v>266</v>
      </c>
      <c r="B267" s="5" t="s">
        <v>816</v>
      </c>
      <c r="C267" s="5">
        <v>38</v>
      </c>
      <c r="D267" s="4" t="s">
        <v>817</v>
      </c>
      <c r="E267" s="4" t="s">
        <v>818</v>
      </c>
      <c r="F267" s="5" t="s">
        <v>27</v>
      </c>
      <c r="G267" s="5" t="s">
        <v>19</v>
      </c>
      <c r="H267" s="5" t="s">
        <v>34</v>
      </c>
      <c r="I267" s="5" t="s">
        <v>18</v>
      </c>
      <c r="J267" s="4" t="s">
        <v>35</v>
      </c>
      <c r="K267" s="4" t="s">
        <v>23</v>
      </c>
      <c r="L267" s="10"/>
      <c r="M267" s="26" t="str">
        <f>HYPERLINK("https://www.bible.com/fr/audio-bible/152/SNG.4.S21","▶ Écouter AT")</f>
        <v>▶ Écouter AT</v>
      </c>
      <c r="N267" s="22" t="str">
        <f>HYPERLINK("https://www.bible.com/fr/audio-bible/152/JHN.13.S21","▶ Écouter NT")</f>
        <v>▶ Écouter NT</v>
      </c>
      <c r="O267" s="27"/>
    </row>
    <row r="268" spans="1:15">
      <c r="A268" s="9">
        <v>267</v>
      </c>
      <c r="B268" s="5" t="s">
        <v>819</v>
      </c>
      <c r="C268" s="5">
        <v>39</v>
      </c>
      <c r="D268" s="4" t="s">
        <v>820</v>
      </c>
      <c r="E268" s="4" t="s">
        <v>821</v>
      </c>
      <c r="F268" s="5" t="s">
        <v>27</v>
      </c>
      <c r="G268" s="5" t="s">
        <v>19</v>
      </c>
      <c r="H268" s="5" t="s">
        <v>34</v>
      </c>
      <c r="I268" s="5" t="s">
        <v>18</v>
      </c>
      <c r="J268" s="4" t="s">
        <v>35</v>
      </c>
      <c r="K268" s="4" t="s">
        <v>23</v>
      </c>
      <c r="L268" s="10"/>
      <c r="M268" s="26" t="str">
        <f>HYPERLINK("https://www.bible.com/fr/audio-bible/152/SNG.7.S21","▶ Écouter AT")</f>
        <v>▶ Écouter AT</v>
      </c>
      <c r="N268" s="22" t="str">
        <f>HYPERLINK("https://www.bible.com/fr/audio-bible/152/JHN.14.S21","▶ Écouter NT")</f>
        <v>▶ Écouter NT</v>
      </c>
      <c r="O268" s="27"/>
    </row>
    <row r="269" spans="1:15">
      <c r="A269" s="9">
        <v>268</v>
      </c>
      <c r="B269" s="5" t="s">
        <v>822</v>
      </c>
      <c r="C269" s="5">
        <v>39</v>
      </c>
      <c r="D269" s="4" t="s">
        <v>823</v>
      </c>
      <c r="E269" s="4" t="s">
        <v>824</v>
      </c>
      <c r="F269" s="5" t="s">
        <v>27</v>
      </c>
      <c r="G269" s="5" t="s">
        <v>342</v>
      </c>
      <c r="H269" s="5" t="s">
        <v>211</v>
      </c>
      <c r="I269" s="5" t="s">
        <v>212</v>
      </c>
      <c r="J269" s="4" t="s">
        <v>213</v>
      </c>
      <c r="K269" s="4" t="s">
        <v>23</v>
      </c>
      <c r="L269" s="10"/>
      <c r="M269" s="26" t="str">
        <f>HYPERLINK("https://www.bible.com/fr/audio-bible/152/ISA.1.S21","▶ Écouter AT")</f>
        <v>▶ Écouter AT</v>
      </c>
      <c r="N269" s="22" t="str">
        <f>HYPERLINK("https://www.bible.com/fr/audio-bible/152/COL.1.S21","▶ Écouter NT")</f>
        <v>▶ Écouter NT</v>
      </c>
      <c r="O269" s="27" t="str">
        <f>HYPERLINK("https://www.bible.com/fr/audio-bible/152/LUK.24.S21","▶ Écouter miroir")</f>
        <v>▶ Écouter miroir</v>
      </c>
    </row>
    <row r="270" spans="1:15">
      <c r="A270" s="9">
        <v>269</v>
      </c>
      <c r="B270" s="5" t="s">
        <v>825</v>
      </c>
      <c r="C270" s="5">
        <v>39</v>
      </c>
      <c r="D270" s="4" t="s">
        <v>826</v>
      </c>
      <c r="E270" s="4" t="s">
        <v>827</v>
      </c>
      <c r="F270" s="5" t="s">
        <v>27</v>
      </c>
      <c r="G270" s="5" t="s">
        <v>19</v>
      </c>
      <c r="H270" s="5" t="s">
        <v>211</v>
      </c>
      <c r="I270" s="5" t="s">
        <v>212</v>
      </c>
      <c r="J270" s="4" t="s">
        <v>213</v>
      </c>
      <c r="K270" s="4" t="s">
        <v>23</v>
      </c>
      <c r="L270" s="10"/>
      <c r="M270" s="26" t="str">
        <f>HYPERLINK("https://www.bible.com/fr/audio-bible/152/ISA.4.S21","▶ Écouter AT")</f>
        <v>▶ Écouter AT</v>
      </c>
      <c r="N270" s="22" t="str">
        <f>HYPERLINK("https://www.bible.com/fr/audio-bible/152/1JN.2.S21","▶ Écouter NT")</f>
        <v>▶ Écouter NT</v>
      </c>
      <c r="O270" s="27"/>
    </row>
    <row r="271" spans="1:15">
      <c r="A271" s="9">
        <v>270</v>
      </c>
      <c r="B271" s="5" t="s">
        <v>828</v>
      </c>
      <c r="C271" s="5">
        <v>39</v>
      </c>
      <c r="D271" s="4" t="s">
        <v>829</v>
      </c>
      <c r="E271" s="4" t="s">
        <v>830</v>
      </c>
      <c r="F271" s="5" t="s">
        <v>27</v>
      </c>
      <c r="G271" s="5" t="s">
        <v>342</v>
      </c>
      <c r="H271" s="5" t="s">
        <v>211</v>
      </c>
      <c r="I271" s="5" t="s">
        <v>212</v>
      </c>
      <c r="J271" s="4" t="s">
        <v>213</v>
      </c>
      <c r="K271" s="4" t="s">
        <v>23</v>
      </c>
      <c r="L271" s="10"/>
      <c r="M271" s="26" t="str">
        <f>HYPERLINK("https://www.bible.com/fr/audio-bible/152/ISA.6.S21","▶ Écouter AT")</f>
        <v>▶ Écouter AT</v>
      </c>
      <c r="N271" s="22" t="str">
        <f>HYPERLINK("https://www.bible.com/fr/audio-bible/152/HEB.2.S21","▶ Écouter NT")</f>
        <v>▶ Écouter NT</v>
      </c>
      <c r="O271" s="27" t="str">
        <f>HYPERLINK("https://www.bible.com/fr/audio-bible/152/LUK.24.S21","▶ Écouter miroir")</f>
        <v>▶ Écouter miroir</v>
      </c>
    </row>
    <row r="272" spans="1:15">
      <c r="A272" s="9">
        <v>271</v>
      </c>
      <c r="B272" s="5" t="s">
        <v>831</v>
      </c>
      <c r="C272" s="5">
        <v>39</v>
      </c>
      <c r="D272" s="4" t="s">
        <v>832</v>
      </c>
      <c r="E272" s="4" t="s">
        <v>833</v>
      </c>
      <c r="F272" s="5" t="s">
        <v>27</v>
      </c>
      <c r="G272" s="5" t="s">
        <v>342</v>
      </c>
      <c r="H272" s="5" t="s">
        <v>211</v>
      </c>
      <c r="I272" s="5" t="s">
        <v>212</v>
      </c>
      <c r="J272" s="4" t="s">
        <v>213</v>
      </c>
      <c r="K272" s="4" t="s">
        <v>23</v>
      </c>
      <c r="L272" s="10"/>
      <c r="M272" s="26" t="str">
        <f>HYPERLINK("https://www.bible.com/fr/audio-bible/152/ISA.9.S21","▶ Écouter AT")</f>
        <v>▶ Écouter AT</v>
      </c>
      <c r="N272" s="22" t="str">
        <f>HYPERLINK("https://www.bible.com/fr/audio-bible/152/HEB.1.S21","▶ Écouter NT")</f>
        <v>▶ Écouter NT</v>
      </c>
      <c r="O272" s="27" t="str">
        <f>HYPERLINK("https://www.bible.com/fr/audio-bible/152/LUK.24.S21","▶ Écouter miroir")</f>
        <v>▶ Écouter miroir</v>
      </c>
    </row>
    <row r="273" spans="1:15">
      <c r="A273" s="9">
        <v>272</v>
      </c>
      <c r="B273" s="5" t="s">
        <v>834</v>
      </c>
      <c r="C273" s="5">
        <v>39</v>
      </c>
      <c r="D273" s="4" t="s">
        <v>835</v>
      </c>
      <c r="E273" s="4" t="s">
        <v>836</v>
      </c>
      <c r="F273" s="5" t="s">
        <v>27</v>
      </c>
      <c r="G273" s="5" t="s">
        <v>19</v>
      </c>
      <c r="H273" s="5" t="s">
        <v>211</v>
      </c>
      <c r="I273" s="5" t="s">
        <v>212</v>
      </c>
      <c r="J273" s="4" t="s">
        <v>213</v>
      </c>
      <c r="K273" s="4" t="s">
        <v>23</v>
      </c>
      <c r="L273" s="10"/>
      <c r="M273" s="26" t="str">
        <f>HYPERLINK("https://www.bible.com/fr/audio-bible/152/ISA.11.S21","▶ Écouter AT")</f>
        <v>▶ Écouter AT</v>
      </c>
      <c r="N273" s="22" t="str">
        <f>HYPERLINK("https://www.bible.com/fr/audio-bible/152/MAT.16.S21","▶ Écouter NT")</f>
        <v>▶ Écouter NT</v>
      </c>
      <c r="O273" s="27"/>
    </row>
    <row r="274" spans="1:15" ht="27.6">
      <c r="A274" s="9">
        <v>273</v>
      </c>
      <c r="B274" s="5" t="s">
        <v>837</v>
      </c>
      <c r="C274" s="5">
        <v>39</v>
      </c>
      <c r="D274" s="4" t="s">
        <v>838</v>
      </c>
      <c r="E274" s="4" t="s">
        <v>839</v>
      </c>
      <c r="F274" s="5" t="s">
        <v>27</v>
      </c>
      <c r="G274" s="5" t="s">
        <v>840</v>
      </c>
      <c r="H274" s="5" t="s">
        <v>841</v>
      </c>
      <c r="I274" s="5" t="s">
        <v>18</v>
      </c>
      <c r="J274" s="4" t="s">
        <v>842</v>
      </c>
      <c r="K274" s="4" t="s">
        <v>23</v>
      </c>
      <c r="L274" s="10"/>
      <c r="M274" s="26" t="str">
        <f>HYPERLINK("https://www.bible.com/fr/audio-bible/152/ISA.14.S21","▶ Écouter AT")</f>
        <v>▶ Écouter AT</v>
      </c>
      <c r="N274" s="22" t="str">
        <f>HYPERLINK("https://www.bible.com/fr/audio-bible/152/ACT.1.S21","▶ Écouter NT")</f>
        <v>▶ Écouter NT</v>
      </c>
      <c r="O274" s="27" t="str">
        <f>HYPERLINK("https://www.bible.com/fr/audio-bible/152/REV.11.S21","▶ Écouter miroir")</f>
        <v>▶ Écouter miroir</v>
      </c>
    </row>
    <row r="275" spans="1:15" ht="27.6">
      <c r="A275" s="9">
        <v>274</v>
      </c>
      <c r="B275" s="5" t="s">
        <v>843</v>
      </c>
      <c r="C275" s="5">
        <v>40</v>
      </c>
      <c r="D275" s="4" t="s">
        <v>844</v>
      </c>
      <c r="E275" s="4" t="s">
        <v>845</v>
      </c>
      <c r="F275" s="5" t="s">
        <v>27</v>
      </c>
      <c r="G275" s="5" t="s">
        <v>97</v>
      </c>
      <c r="H275" s="5" t="s">
        <v>39</v>
      </c>
      <c r="I275" s="5" t="s">
        <v>40</v>
      </c>
      <c r="J275" s="4" t="s">
        <v>41</v>
      </c>
      <c r="K275" s="4" t="s">
        <v>23</v>
      </c>
      <c r="L275" s="10"/>
      <c r="M275" s="26" t="str">
        <f>HYPERLINK("https://www.bible.com/fr/audio-bible/152/ISA.16.S21","▶ Écouter AT")</f>
        <v>▶ Écouter AT</v>
      </c>
      <c r="N275" s="22" t="str">
        <f>HYPERLINK("https://www.bible.com/fr/audio-bible/152/ACT.17.S21","▶ Écouter NT")</f>
        <v>▶ Écouter NT</v>
      </c>
      <c r="O275" s="27" t="str">
        <f>HYPERLINK("https://www.bible.com/fr/audio-bible/152/EPH.3.S21","▶ Écouter miroir")</f>
        <v>▶ Écouter miroir</v>
      </c>
    </row>
    <row r="276" spans="1:15" ht="27.6">
      <c r="A276" s="9">
        <v>275</v>
      </c>
      <c r="B276" s="5" t="s">
        <v>846</v>
      </c>
      <c r="C276" s="5">
        <v>40</v>
      </c>
      <c r="D276" s="4" t="s">
        <v>847</v>
      </c>
      <c r="E276" s="4" t="s">
        <v>848</v>
      </c>
      <c r="F276" s="5" t="s">
        <v>27</v>
      </c>
      <c r="G276" s="5" t="s">
        <v>97</v>
      </c>
      <c r="H276" s="5" t="s">
        <v>39</v>
      </c>
      <c r="I276" s="5" t="s">
        <v>40</v>
      </c>
      <c r="J276" s="4" t="s">
        <v>41</v>
      </c>
      <c r="K276" s="4" t="s">
        <v>23</v>
      </c>
      <c r="L276" s="10"/>
      <c r="M276" s="26" t="str">
        <f>HYPERLINK("https://www.bible.com/fr/audio-bible/152/ISA.19.S21","▶ Écouter AT")</f>
        <v>▶ Écouter AT</v>
      </c>
      <c r="N276" s="22" t="str">
        <f>HYPERLINK("https://www.bible.com/fr/audio-bible/152/ACT.18.S21","▶ Écouter NT")</f>
        <v>▶ Écouter NT</v>
      </c>
      <c r="O276" s="27" t="str">
        <f>HYPERLINK("https://www.bible.com/fr/audio-bible/152/EPH.3.S21","▶ Écouter miroir")</f>
        <v>▶ Écouter miroir</v>
      </c>
    </row>
    <row r="277" spans="1:15" ht="27.6">
      <c r="A277" s="9">
        <v>276</v>
      </c>
      <c r="B277" s="5" t="s">
        <v>849</v>
      </c>
      <c r="C277" s="5">
        <v>40</v>
      </c>
      <c r="D277" s="4" t="s">
        <v>850</v>
      </c>
      <c r="E277" s="4" t="s">
        <v>851</v>
      </c>
      <c r="F277" s="5" t="s">
        <v>27</v>
      </c>
      <c r="G277" s="5" t="s">
        <v>97</v>
      </c>
      <c r="H277" s="5" t="s">
        <v>39</v>
      </c>
      <c r="I277" s="5" t="s">
        <v>40</v>
      </c>
      <c r="J277" s="4" t="s">
        <v>41</v>
      </c>
      <c r="K277" s="4" t="s">
        <v>23</v>
      </c>
      <c r="L277" s="10"/>
      <c r="M277" s="26" t="str">
        <f>HYPERLINK("https://www.bible.com/fr/audio-bible/152/ISA.21.S21","▶ Écouter AT")</f>
        <v>▶ Écouter AT</v>
      </c>
      <c r="N277" s="22" t="str">
        <f>HYPERLINK("https://www.bible.com/fr/audio-bible/152/ROM.14.S21","▶ Écouter NT")</f>
        <v>▶ Écouter NT</v>
      </c>
      <c r="O277" s="27" t="str">
        <f>HYPERLINK("https://www.bible.com/fr/audio-bible/152/EPH.3.S21","▶ Écouter miroir")</f>
        <v>▶ Écouter miroir</v>
      </c>
    </row>
    <row r="278" spans="1:15" ht="27.6">
      <c r="A278" s="9">
        <v>277</v>
      </c>
      <c r="B278" s="5" t="s">
        <v>852</v>
      </c>
      <c r="C278" s="5">
        <v>40</v>
      </c>
      <c r="D278" s="4" t="s">
        <v>853</v>
      </c>
      <c r="E278" s="4" t="s">
        <v>854</v>
      </c>
      <c r="F278" s="5" t="s">
        <v>27</v>
      </c>
      <c r="G278" s="5" t="s">
        <v>19</v>
      </c>
      <c r="H278" s="5" t="s">
        <v>855</v>
      </c>
      <c r="I278" s="5" t="s">
        <v>212</v>
      </c>
      <c r="J278" s="4" t="s">
        <v>856</v>
      </c>
      <c r="K278" s="4" t="s">
        <v>23</v>
      </c>
      <c r="L278" s="10"/>
      <c r="M278" s="26" t="str">
        <f>HYPERLINK("https://www.bible.com/fr/audio-bible/152/ISA.24.S21","▶ Écouter AT")</f>
        <v>▶ Écouter AT</v>
      </c>
      <c r="N278" s="22" t="str">
        <f>HYPERLINK("https://www.bible.com/fr/audio-bible/152/JHN.5.S21","▶ Écouter NT")</f>
        <v>▶ Écouter NT</v>
      </c>
      <c r="O278" s="27"/>
    </row>
    <row r="279" spans="1:15" ht="27.6">
      <c r="A279" s="9">
        <v>278</v>
      </c>
      <c r="B279" s="5" t="s">
        <v>857</v>
      </c>
      <c r="C279" s="5">
        <v>40</v>
      </c>
      <c r="D279" s="4" t="s">
        <v>858</v>
      </c>
      <c r="E279" s="4" t="s">
        <v>859</v>
      </c>
      <c r="F279" s="5" t="s">
        <v>27</v>
      </c>
      <c r="G279" s="5" t="s">
        <v>19</v>
      </c>
      <c r="H279" s="5" t="s">
        <v>855</v>
      </c>
      <c r="I279" s="5" t="s">
        <v>212</v>
      </c>
      <c r="J279" s="4" t="s">
        <v>856</v>
      </c>
      <c r="K279" s="4" t="s">
        <v>23</v>
      </c>
      <c r="L279" s="10"/>
      <c r="M279" s="26" t="str">
        <f>HYPERLINK("https://www.bible.com/fr/audio-bible/152/ISA.27.S21","▶ Écouter AT")</f>
        <v>▶ Écouter AT</v>
      </c>
      <c r="N279" s="22" t="str">
        <f>HYPERLINK("https://www.bible.com/fr/audio-bible/152/JHN.20.S21","▶ Écouter NT")</f>
        <v>▶ Écouter NT</v>
      </c>
      <c r="O279" s="27"/>
    </row>
    <row r="280" spans="1:15">
      <c r="A280" s="9">
        <v>279</v>
      </c>
      <c r="B280" s="5" t="s">
        <v>860</v>
      </c>
      <c r="C280" s="5">
        <v>40</v>
      </c>
      <c r="D280" s="4" t="s">
        <v>861</v>
      </c>
      <c r="E280" s="4" t="s">
        <v>862</v>
      </c>
      <c r="F280" s="5" t="s">
        <v>27</v>
      </c>
      <c r="G280" s="5" t="s">
        <v>253</v>
      </c>
      <c r="H280" s="5" t="s">
        <v>254</v>
      </c>
      <c r="I280" s="5" t="s">
        <v>57</v>
      </c>
      <c r="J280" s="4" t="s">
        <v>255</v>
      </c>
      <c r="K280" s="4" t="s">
        <v>23</v>
      </c>
      <c r="L280" s="10"/>
      <c r="M280" s="26" t="str">
        <f>HYPERLINK("https://www.bible.com/fr/audio-bible/152/ISA.29.S21","▶ Écouter AT")</f>
        <v>▶ Écouter AT</v>
      </c>
      <c r="N280" s="22" t="str">
        <f>HYPERLINK("https://www.bible.com/fr/audio-bible/152/2TI.3.S21","▶ Écouter NT")</f>
        <v>▶ Écouter NT</v>
      </c>
      <c r="O280" s="27" t="str">
        <f>HYPERLINK("https://www.bible.com/fr/audio-bible/152/LUK.1.S21","▶ Écouter miroir")</f>
        <v>▶ Écouter miroir</v>
      </c>
    </row>
    <row r="281" spans="1:15" ht="27.6">
      <c r="A281" s="9">
        <v>280</v>
      </c>
      <c r="B281" s="5" t="s">
        <v>863</v>
      </c>
      <c r="C281" s="5">
        <v>40</v>
      </c>
      <c r="D281" s="4" t="s">
        <v>864</v>
      </c>
      <c r="E281" s="4" t="s">
        <v>865</v>
      </c>
      <c r="F281" s="5" t="s">
        <v>27</v>
      </c>
      <c r="G281" s="5" t="s">
        <v>19</v>
      </c>
      <c r="H281" s="5" t="s">
        <v>296</v>
      </c>
      <c r="I281" s="5" t="s">
        <v>18</v>
      </c>
      <c r="J281" s="4" t="s">
        <v>297</v>
      </c>
      <c r="K281" s="4" t="s">
        <v>23</v>
      </c>
      <c r="L281" s="10"/>
      <c r="M281" s="26" t="str">
        <f>HYPERLINK("https://www.bible.com/fr/audio-bible/152/ISA.32.S21","▶ Écouter AT")</f>
        <v>▶ Écouter AT</v>
      </c>
      <c r="N281" s="22" t="str">
        <f>HYPERLINK("https://www.bible.com/fr/audio-bible/152/JUD.1.S21","▶ Écouter NT")</f>
        <v>▶ Écouter NT</v>
      </c>
      <c r="O281" s="27"/>
    </row>
    <row r="282" spans="1:15">
      <c r="A282" s="9">
        <v>281</v>
      </c>
      <c r="B282" s="5" t="s">
        <v>866</v>
      </c>
      <c r="C282" s="5">
        <v>41</v>
      </c>
      <c r="D282" s="4" t="s">
        <v>867</v>
      </c>
      <c r="E282" s="4" t="s">
        <v>868</v>
      </c>
      <c r="F282" s="5" t="s">
        <v>27</v>
      </c>
      <c r="G282" s="5" t="s">
        <v>253</v>
      </c>
      <c r="H282" s="5" t="s">
        <v>254</v>
      </c>
      <c r="I282" s="5" t="s">
        <v>57</v>
      </c>
      <c r="J282" s="4" t="s">
        <v>255</v>
      </c>
      <c r="K282" s="4" t="s">
        <v>23</v>
      </c>
      <c r="L282" s="10"/>
      <c r="M282" s="26" t="str">
        <f>HYPERLINK("https://www.bible.com/fr/audio-bible/152/ISA.34.S21","▶ Écouter AT")</f>
        <v>▶ Écouter AT</v>
      </c>
      <c r="N282" s="22" t="str">
        <f>HYPERLINK("https://www.bible.com/fr/audio-bible/152/2TI.4.S21","▶ Écouter NT")</f>
        <v>▶ Écouter NT</v>
      </c>
      <c r="O282" s="27" t="str">
        <f>HYPERLINK("https://www.bible.com/fr/audio-bible/152/LUK.1.S21","▶ Écouter miroir")</f>
        <v>▶ Écouter miroir</v>
      </c>
    </row>
    <row r="283" spans="1:15">
      <c r="A283" s="9">
        <v>282</v>
      </c>
      <c r="B283" s="5" t="s">
        <v>869</v>
      </c>
      <c r="C283" s="5">
        <v>41</v>
      </c>
      <c r="D283" s="4" t="s">
        <v>870</v>
      </c>
      <c r="E283" s="4" t="s">
        <v>871</v>
      </c>
      <c r="F283" s="5" t="s">
        <v>27</v>
      </c>
      <c r="G283" s="5" t="s">
        <v>253</v>
      </c>
      <c r="H283" s="5" t="s">
        <v>254</v>
      </c>
      <c r="I283" s="5" t="s">
        <v>57</v>
      </c>
      <c r="J283" s="4" t="s">
        <v>255</v>
      </c>
      <c r="K283" s="4" t="s">
        <v>23</v>
      </c>
      <c r="L283" s="10"/>
      <c r="M283" s="26" t="str">
        <f>HYPERLINK("https://www.bible.com/fr/audio-bible/152/ISA.37.S21","▶ Écouter AT")</f>
        <v>▶ Écouter AT</v>
      </c>
      <c r="N283" s="22" t="str">
        <f>HYPERLINK("https://www.bible.com/fr/audio-bible/152/HEB.4.S21","▶ Écouter NT")</f>
        <v>▶ Écouter NT</v>
      </c>
      <c r="O283" s="27" t="str">
        <f>HYPERLINK("https://www.bible.com/fr/audio-bible/152/LUK.1.S21","▶ Écouter miroir")</f>
        <v>▶ Écouter miroir</v>
      </c>
    </row>
    <row r="284" spans="1:15" ht="27.6">
      <c r="A284" s="9">
        <v>283</v>
      </c>
      <c r="B284" s="5" t="s">
        <v>872</v>
      </c>
      <c r="C284" s="5">
        <v>41</v>
      </c>
      <c r="D284" s="4" t="s">
        <v>873</v>
      </c>
      <c r="E284" s="4" t="s">
        <v>874</v>
      </c>
      <c r="F284" s="5" t="s">
        <v>27</v>
      </c>
      <c r="G284" s="5" t="s">
        <v>19</v>
      </c>
      <c r="H284" s="5" t="s">
        <v>20</v>
      </c>
      <c r="I284" s="5" t="s">
        <v>21</v>
      </c>
      <c r="J284" s="4" t="s">
        <v>22</v>
      </c>
      <c r="K284" s="4" t="s">
        <v>23</v>
      </c>
      <c r="L284" s="10"/>
      <c r="M284" s="26" t="str">
        <f>HYPERLINK("https://www.bible.com/fr/audio-bible/152/ISA.39.S21","▶ Écouter AT")</f>
        <v>▶ Écouter AT</v>
      </c>
      <c r="N284" s="22" t="str">
        <f>HYPERLINK("https://www.bible.com/fr/audio-bible/152/2CO.4.S21","▶ Écouter NT")</f>
        <v>▶ Écouter NT</v>
      </c>
      <c r="O284" s="27"/>
    </row>
    <row r="285" spans="1:15" ht="27.6">
      <c r="A285" s="9">
        <v>284</v>
      </c>
      <c r="B285" s="5" t="s">
        <v>875</v>
      </c>
      <c r="C285" s="5">
        <v>41</v>
      </c>
      <c r="D285" s="4" t="s">
        <v>876</v>
      </c>
      <c r="E285" s="4" t="s">
        <v>877</v>
      </c>
      <c r="F285" s="5" t="s">
        <v>27</v>
      </c>
      <c r="G285" s="5" t="s">
        <v>19</v>
      </c>
      <c r="H285" s="5" t="s">
        <v>39</v>
      </c>
      <c r="I285" s="5" t="s">
        <v>40</v>
      </c>
      <c r="J285" s="4" t="s">
        <v>41</v>
      </c>
      <c r="K285" s="4" t="s">
        <v>23</v>
      </c>
      <c r="L285" s="10"/>
      <c r="M285" s="26" t="str">
        <f>HYPERLINK("https://www.bible.com/fr/audio-bible/152/ISA.42.S21","▶ Écouter AT")</f>
        <v>▶ Écouter AT</v>
      </c>
      <c r="N285" s="22" t="str">
        <f>HYPERLINK("https://www.bible.com/fr/audio-bible/152/EPH.2.S21","▶ Écouter NT")</f>
        <v>▶ Écouter NT</v>
      </c>
      <c r="O285" s="27"/>
    </row>
    <row r="286" spans="1:15" ht="27.6">
      <c r="A286" s="9">
        <v>285</v>
      </c>
      <c r="B286" s="5" t="s">
        <v>878</v>
      </c>
      <c r="C286" s="5">
        <v>41</v>
      </c>
      <c r="D286" s="4" t="s">
        <v>879</v>
      </c>
      <c r="E286" s="4" t="s">
        <v>17</v>
      </c>
      <c r="F286" s="5" t="s">
        <v>18</v>
      </c>
      <c r="G286" s="5" t="s">
        <v>19</v>
      </c>
      <c r="H286" s="5" t="s">
        <v>20</v>
      </c>
      <c r="I286" s="5" t="s">
        <v>21</v>
      </c>
      <c r="J286" s="4" t="s">
        <v>22</v>
      </c>
      <c r="K286" s="4" t="s">
        <v>23</v>
      </c>
      <c r="L286" s="10"/>
      <c r="M286" s="26" t="str">
        <f>HYPERLINK("https://www.bible.com/fr/audio-bible/152/ISA.44.S21","▶ Écouter AT")</f>
        <v>▶ Écouter AT</v>
      </c>
      <c r="N286" s="22" t="str">
        <f>HYPERLINK("https://www.bible.com/fr/audio-bible/152/JHN.1.S21","▶ Écouter NT")</f>
        <v>▶ Écouter NT</v>
      </c>
      <c r="O286" s="27"/>
    </row>
    <row r="287" spans="1:15">
      <c r="A287" s="9">
        <v>286</v>
      </c>
      <c r="B287" s="5" t="s">
        <v>880</v>
      </c>
      <c r="C287" s="5">
        <v>41</v>
      </c>
      <c r="D287" s="4" t="s">
        <v>881</v>
      </c>
      <c r="E287" s="4" t="s">
        <v>882</v>
      </c>
      <c r="F287" s="5" t="s">
        <v>27</v>
      </c>
      <c r="G287" s="5" t="s">
        <v>100</v>
      </c>
      <c r="H287" s="5" t="s">
        <v>101</v>
      </c>
      <c r="I287" s="5" t="s">
        <v>57</v>
      </c>
      <c r="J287" s="4" t="s">
        <v>102</v>
      </c>
      <c r="K287" s="4" t="s">
        <v>23</v>
      </c>
      <c r="L287" s="10"/>
      <c r="M287" s="26" t="str">
        <f>HYPERLINK("https://www.bible.com/fr/audio-bible/152/ISA.47.S21","▶ Écouter AT")</f>
        <v>▶ Écouter AT</v>
      </c>
      <c r="N287" s="22" t="str">
        <f>HYPERLINK("https://www.bible.com/fr/audio-bible/152/ROM.6.S21","▶ Écouter NT")</f>
        <v>▶ Écouter NT</v>
      </c>
      <c r="O287" s="27" t="str">
        <f>HYPERLINK("https://www.bible.com/fr/audio-bible/152/1CO.10.S21","▶ Écouter miroir")</f>
        <v>▶ Écouter miroir</v>
      </c>
    </row>
    <row r="288" spans="1:15">
      <c r="A288" s="9">
        <v>287</v>
      </c>
      <c r="B288" s="5" t="s">
        <v>883</v>
      </c>
      <c r="C288" s="5">
        <v>41</v>
      </c>
      <c r="D288" s="4" t="s">
        <v>884</v>
      </c>
      <c r="E288" s="4" t="s">
        <v>885</v>
      </c>
      <c r="F288" s="5" t="s">
        <v>27</v>
      </c>
      <c r="G288" s="5" t="s">
        <v>19</v>
      </c>
      <c r="H288" s="5" t="s">
        <v>211</v>
      </c>
      <c r="I288" s="5" t="s">
        <v>212</v>
      </c>
      <c r="J288" s="4" t="s">
        <v>213</v>
      </c>
      <c r="K288" s="4" t="s">
        <v>23</v>
      </c>
      <c r="L288" s="10"/>
      <c r="M288" s="26" t="str">
        <f>HYPERLINK("https://www.bible.com/fr/audio-bible/152/ISA.49.S21","▶ Écouter AT")</f>
        <v>▶ Écouter AT</v>
      </c>
      <c r="N288" s="22" t="str">
        <f>HYPERLINK("https://www.bible.com/fr/audio-bible/152/ACT.3.S21","▶ Écouter NT")</f>
        <v>▶ Écouter NT</v>
      </c>
      <c r="O288" s="27"/>
    </row>
    <row r="289" spans="1:15" ht="27.6">
      <c r="A289" s="9">
        <v>288</v>
      </c>
      <c r="B289" s="5" t="s">
        <v>886</v>
      </c>
      <c r="C289" s="5">
        <v>42</v>
      </c>
      <c r="D289" s="4" t="s">
        <v>887</v>
      </c>
      <c r="E289" s="4" t="s">
        <v>888</v>
      </c>
      <c r="F289" s="5" t="s">
        <v>27</v>
      </c>
      <c r="G289" s="5" t="s">
        <v>19</v>
      </c>
      <c r="H289" s="5" t="s">
        <v>56</v>
      </c>
      <c r="I289" s="5" t="s">
        <v>57</v>
      </c>
      <c r="J289" s="4" t="s">
        <v>58</v>
      </c>
      <c r="K289" s="4" t="s">
        <v>23</v>
      </c>
      <c r="L289" s="10"/>
      <c r="M289" s="26" t="str">
        <f>HYPERLINK("https://www.bible.com/fr/audio-bible/152/ISA.52.S21","▶ Écouter AT")</f>
        <v>▶ Écouter AT</v>
      </c>
      <c r="N289" s="22" t="str">
        <f>HYPERLINK("https://www.bible.com/fr/audio-bible/152/MAT.26.S21","▶ Écouter NT")</f>
        <v>▶ Écouter NT</v>
      </c>
      <c r="O289" s="27"/>
    </row>
    <row r="290" spans="1:15" ht="27.6">
      <c r="A290" s="9">
        <v>289</v>
      </c>
      <c r="B290" s="5" t="s">
        <v>889</v>
      </c>
      <c r="C290" s="5">
        <v>42</v>
      </c>
      <c r="D290" s="4" t="s">
        <v>890</v>
      </c>
      <c r="E290" s="4" t="s">
        <v>891</v>
      </c>
      <c r="F290" s="5" t="s">
        <v>27</v>
      </c>
      <c r="G290" s="5" t="s">
        <v>892</v>
      </c>
      <c r="H290" s="5" t="s">
        <v>893</v>
      </c>
      <c r="I290" s="5" t="s">
        <v>212</v>
      </c>
      <c r="J290" s="4" t="s">
        <v>894</v>
      </c>
      <c r="K290" s="4" t="s">
        <v>23</v>
      </c>
      <c r="L290" s="10"/>
      <c r="M290" s="26" t="str">
        <f>HYPERLINK("https://www.bible.com/fr/audio-bible/152/ISA.55.S21","▶ Écouter AT")</f>
        <v>▶ Écouter AT</v>
      </c>
      <c r="N290" s="22" t="str">
        <f>HYPERLINK("https://www.bible.com/fr/audio-bible/152/JHN.7.S21","▶ Écouter NT")</f>
        <v>▶ Écouter NT</v>
      </c>
      <c r="O290" s="27" t="str">
        <f>HYPERLINK("https://www.bible.com/fr/audio-bible/152/ACT.2.S21","▶ Écouter miroir")</f>
        <v>▶ Écouter miroir</v>
      </c>
    </row>
    <row r="291" spans="1:15" ht="27.6">
      <c r="A291" s="9">
        <v>290</v>
      </c>
      <c r="B291" s="5" t="s">
        <v>895</v>
      </c>
      <c r="C291" s="5">
        <v>42</v>
      </c>
      <c r="D291" s="4" t="s">
        <v>896</v>
      </c>
      <c r="E291" s="4" t="s">
        <v>897</v>
      </c>
      <c r="F291" s="5" t="s">
        <v>27</v>
      </c>
      <c r="G291" s="5" t="s">
        <v>892</v>
      </c>
      <c r="H291" s="5" t="s">
        <v>893</v>
      </c>
      <c r="I291" s="5" t="s">
        <v>212</v>
      </c>
      <c r="J291" s="4" t="s">
        <v>894</v>
      </c>
      <c r="K291" s="4" t="s">
        <v>23</v>
      </c>
      <c r="L291" s="10"/>
      <c r="M291" s="26" t="str">
        <f>HYPERLINK("https://www.bible.com/fr/audio-bible/152/ISA.57.S21","▶ Écouter AT")</f>
        <v>▶ Écouter AT</v>
      </c>
      <c r="N291" s="22" t="str">
        <f>HYPERLINK("https://www.bible.com/fr/audio-bible/152/JHN.8.S21","▶ Écouter NT")</f>
        <v>▶ Écouter NT</v>
      </c>
      <c r="O291" s="27" t="str">
        <f>HYPERLINK("https://www.bible.com/fr/audio-bible/152/ACT.2.S21","▶ Écouter miroir")</f>
        <v>▶ Écouter miroir</v>
      </c>
    </row>
    <row r="292" spans="1:15" ht="27.6">
      <c r="A292" s="9">
        <v>291</v>
      </c>
      <c r="B292" s="5" t="s">
        <v>898</v>
      </c>
      <c r="C292" s="5">
        <v>42</v>
      </c>
      <c r="D292" s="4" t="s">
        <v>899</v>
      </c>
      <c r="E292" s="4" t="s">
        <v>900</v>
      </c>
      <c r="F292" s="5" t="s">
        <v>27</v>
      </c>
      <c r="G292" s="5" t="s">
        <v>19</v>
      </c>
      <c r="H292" s="5" t="s">
        <v>893</v>
      </c>
      <c r="I292" s="5" t="s">
        <v>212</v>
      </c>
      <c r="J292" s="4" t="s">
        <v>894</v>
      </c>
      <c r="K292" s="4" t="s">
        <v>23</v>
      </c>
      <c r="L292" s="10"/>
      <c r="M292" s="26" t="str">
        <f>HYPERLINK("https://www.bible.com/fr/audio-bible/152/ISA.60.S21","▶ Écouter AT")</f>
        <v>▶ Écouter AT</v>
      </c>
      <c r="N292" s="22" t="str">
        <f>HYPERLINK("https://www.bible.com/fr/audio-bible/152/1CO.12.S21","▶ Écouter NT")</f>
        <v>▶ Écouter NT</v>
      </c>
      <c r="O292" s="27"/>
    </row>
    <row r="293" spans="1:15" ht="27.6">
      <c r="A293" s="9">
        <v>292</v>
      </c>
      <c r="B293" s="5" t="s">
        <v>901</v>
      </c>
      <c r="C293" s="5">
        <v>42</v>
      </c>
      <c r="D293" s="4" t="s">
        <v>902</v>
      </c>
      <c r="E293" s="4" t="s">
        <v>903</v>
      </c>
      <c r="F293" s="5" t="s">
        <v>27</v>
      </c>
      <c r="G293" s="5" t="s">
        <v>19</v>
      </c>
      <c r="H293" s="5" t="s">
        <v>893</v>
      </c>
      <c r="I293" s="5" t="s">
        <v>212</v>
      </c>
      <c r="J293" s="4" t="s">
        <v>894</v>
      </c>
      <c r="K293" s="4" t="s">
        <v>23</v>
      </c>
      <c r="L293" s="10"/>
      <c r="M293" s="26" t="str">
        <f>HYPERLINK("https://www.bible.com/fr/audio-bible/152/ISA.62.S21","▶ Écouter AT")</f>
        <v>▶ Écouter AT</v>
      </c>
      <c r="N293" s="22" t="str">
        <f>HYPERLINK("https://www.bible.com/fr/audio-bible/152/1CO.13.S21","▶ Écouter NT")</f>
        <v>▶ Écouter NT</v>
      </c>
      <c r="O293" s="27"/>
    </row>
    <row r="294" spans="1:15" ht="27.6">
      <c r="A294" s="9">
        <v>293</v>
      </c>
      <c r="B294" s="5" t="s">
        <v>904</v>
      </c>
      <c r="C294" s="5">
        <v>42</v>
      </c>
      <c r="D294" s="4" t="s">
        <v>905</v>
      </c>
      <c r="E294" s="4" t="s">
        <v>906</v>
      </c>
      <c r="F294" s="5" t="s">
        <v>27</v>
      </c>
      <c r="G294" s="5" t="s">
        <v>19</v>
      </c>
      <c r="H294" s="5" t="s">
        <v>893</v>
      </c>
      <c r="I294" s="5" t="s">
        <v>212</v>
      </c>
      <c r="J294" s="4" t="s">
        <v>894</v>
      </c>
      <c r="K294" s="4" t="s">
        <v>23</v>
      </c>
      <c r="L294" s="10"/>
      <c r="M294" s="26" t="str">
        <f>HYPERLINK("https://www.bible.com/fr/audio-bible/152/ISA.65.S21","▶ Écouter AT")</f>
        <v>▶ Écouter AT</v>
      </c>
      <c r="N294" s="22" t="str">
        <f>HYPERLINK("https://www.bible.com/fr/audio-bible/152/1CO.14.S21","▶ Écouter NT")</f>
        <v>▶ Écouter NT</v>
      </c>
      <c r="O294" s="27"/>
    </row>
    <row r="295" spans="1:15" ht="27.6">
      <c r="A295" s="9">
        <v>294</v>
      </c>
      <c r="B295" s="5" t="s">
        <v>907</v>
      </c>
      <c r="C295" s="5">
        <v>42</v>
      </c>
      <c r="D295" s="4" t="s">
        <v>908</v>
      </c>
      <c r="E295" s="4" t="s">
        <v>423</v>
      </c>
      <c r="F295" s="5" t="s">
        <v>18</v>
      </c>
      <c r="G295" s="5" t="s">
        <v>19</v>
      </c>
      <c r="H295" s="5" t="s">
        <v>424</v>
      </c>
      <c r="I295" s="5" t="s">
        <v>122</v>
      </c>
      <c r="J295" s="4" t="s">
        <v>425</v>
      </c>
      <c r="K295" s="4" t="s">
        <v>23</v>
      </c>
      <c r="L295" s="10"/>
      <c r="M295" s="26" t="str">
        <f>HYPERLINK("https://www.bible.com/fr/audio-bible/152/JER.1.S21","▶ Écouter AT")</f>
        <v>▶ Écouter AT</v>
      </c>
      <c r="N295" s="22" t="str">
        <f>HYPERLINK("https://www.bible.com/fr/audio-bible/152/2PE.3.S21","▶ Écouter NT")</f>
        <v>▶ Écouter NT</v>
      </c>
      <c r="O295" s="27"/>
    </row>
    <row r="296" spans="1:15" ht="27.6">
      <c r="A296" s="9">
        <v>295</v>
      </c>
      <c r="B296" s="5" t="s">
        <v>909</v>
      </c>
      <c r="C296" s="5">
        <v>43</v>
      </c>
      <c r="D296" s="4" t="s">
        <v>910</v>
      </c>
      <c r="E296" s="4" t="s">
        <v>423</v>
      </c>
      <c r="F296" s="5" t="s">
        <v>18</v>
      </c>
      <c r="G296" s="5" t="s">
        <v>19</v>
      </c>
      <c r="H296" s="5" t="s">
        <v>424</v>
      </c>
      <c r="I296" s="5" t="s">
        <v>122</v>
      </c>
      <c r="J296" s="4" t="s">
        <v>425</v>
      </c>
      <c r="K296" s="4" t="s">
        <v>23</v>
      </c>
      <c r="L296" s="10"/>
      <c r="M296" s="26" t="str">
        <f>HYPERLINK("https://www.bible.com/fr/audio-bible/152/JER.4.S21","▶ Écouter AT")</f>
        <v>▶ Écouter AT</v>
      </c>
      <c r="N296" s="22" t="str">
        <f>HYPERLINK("https://www.bible.com/fr/audio-bible/152/2PE.3.S21","▶ Écouter NT")</f>
        <v>▶ Écouter NT</v>
      </c>
      <c r="O296" s="27"/>
    </row>
    <row r="297" spans="1:15" ht="27.6">
      <c r="A297" s="9">
        <v>296</v>
      </c>
      <c r="B297" s="5" t="s">
        <v>911</v>
      </c>
      <c r="C297" s="5">
        <v>43</v>
      </c>
      <c r="D297" s="4" t="s">
        <v>912</v>
      </c>
      <c r="E297" s="4" t="s">
        <v>423</v>
      </c>
      <c r="F297" s="5" t="s">
        <v>18</v>
      </c>
      <c r="G297" s="5" t="s">
        <v>19</v>
      </c>
      <c r="H297" s="5" t="s">
        <v>424</v>
      </c>
      <c r="I297" s="5" t="s">
        <v>122</v>
      </c>
      <c r="J297" s="4" t="s">
        <v>425</v>
      </c>
      <c r="K297" s="4" t="s">
        <v>23</v>
      </c>
      <c r="L297" s="10"/>
      <c r="M297" s="26" t="str">
        <f>HYPERLINK("https://www.bible.com/fr/audio-bible/152/JER.6.S21","▶ Écouter AT")</f>
        <v>▶ Écouter AT</v>
      </c>
      <c r="N297" s="22" t="str">
        <f>HYPERLINK("https://www.bible.com/fr/audio-bible/152/2PE.3.S21","▶ Écouter NT")</f>
        <v>▶ Écouter NT</v>
      </c>
      <c r="O297" s="27"/>
    </row>
    <row r="298" spans="1:15" ht="27.6">
      <c r="A298" s="9">
        <v>297</v>
      </c>
      <c r="B298" s="5" t="s">
        <v>913</v>
      </c>
      <c r="C298" s="5">
        <v>43</v>
      </c>
      <c r="D298" s="4" t="s">
        <v>914</v>
      </c>
      <c r="E298" s="4" t="s">
        <v>423</v>
      </c>
      <c r="F298" s="5" t="s">
        <v>18</v>
      </c>
      <c r="G298" s="5" t="s">
        <v>19</v>
      </c>
      <c r="H298" s="5" t="s">
        <v>424</v>
      </c>
      <c r="I298" s="5" t="s">
        <v>122</v>
      </c>
      <c r="J298" s="4" t="s">
        <v>425</v>
      </c>
      <c r="K298" s="4" t="s">
        <v>23</v>
      </c>
      <c r="L298" s="10"/>
      <c r="M298" s="26" t="str">
        <f>HYPERLINK("https://www.bible.com/fr/audio-bible/152/JER.9.S21","▶ Écouter AT")</f>
        <v>▶ Écouter AT</v>
      </c>
      <c r="N298" s="22" t="str">
        <f>HYPERLINK("https://www.bible.com/fr/audio-bible/152/2PE.3.S21","▶ Écouter NT")</f>
        <v>▶ Écouter NT</v>
      </c>
      <c r="O298" s="27"/>
    </row>
    <row r="299" spans="1:15">
      <c r="A299" s="9">
        <v>298</v>
      </c>
      <c r="B299" s="5" t="s">
        <v>915</v>
      </c>
      <c r="C299" s="5">
        <v>43</v>
      </c>
      <c r="D299" s="4" t="s">
        <v>916</v>
      </c>
      <c r="E299" s="4" t="s">
        <v>917</v>
      </c>
      <c r="F299" s="5" t="s">
        <v>27</v>
      </c>
      <c r="G299" s="5" t="s">
        <v>33</v>
      </c>
      <c r="H299" s="5" t="s">
        <v>34</v>
      </c>
      <c r="I299" s="5" t="s">
        <v>18</v>
      </c>
      <c r="J299" s="4" t="s">
        <v>35</v>
      </c>
      <c r="K299" s="4" t="s">
        <v>23</v>
      </c>
      <c r="L299" s="10"/>
      <c r="M299" s="26" t="str">
        <f>HYPERLINK("https://www.bible.com/fr/audio-bible/152/JER.11.S21","▶ Écouter AT")</f>
        <v>▶ Écouter AT</v>
      </c>
      <c r="N299" s="22" t="str">
        <f>HYPERLINK("https://www.bible.com/fr/audio-bible/152/PHP.1.S21","▶ Écouter NT")</f>
        <v>▶ Écouter NT</v>
      </c>
      <c r="O299" s="27" t="str">
        <f>HYPERLINK("https://www.bible.com/fr/audio-bible/152/HEB.8.S21","▶ Écouter miroir")</f>
        <v>▶ Écouter miroir</v>
      </c>
    </row>
    <row r="300" spans="1:15">
      <c r="A300" s="9">
        <v>299</v>
      </c>
      <c r="B300" s="5" t="s">
        <v>918</v>
      </c>
      <c r="C300" s="5">
        <v>43</v>
      </c>
      <c r="D300" s="4" t="s">
        <v>919</v>
      </c>
      <c r="E300" s="4" t="s">
        <v>920</v>
      </c>
      <c r="F300" s="5" t="s">
        <v>27</v>
      </c>
      <c r="G300" s="5" t="s">
        <v>33</v>
      </c>
      <c r="H300" s="5" t="s">
        <v>34</v>
      </c>
      <c r="I300" s="5" t="s">
        <v>18</v>
      </c>
      <c r="J300" s="4" t="s">
        <v>35</v>
      </c>
      <c r="K300" s="4" t="s">
        <v>23</v>
      </c>
      <c r="L300" s="10"/>
      <c r="M300" s="26" t="str">
        <f>HYPERLINK("https://www.bible.com/fr/audio-bible/152/JER.14.S21","▶ Écouter AT")</f>
        <v>▶ Écouter AT</v>
      </c>
      <c r="N300" s="22" t="str">
        <f>HYPERLINK("https://www.bible.com/fr/audio-bible/152/2TI.1.S21","▶ Écouter NT")</f>
        <v>▶ Écouter NT</v>
      </c>
      <c r="O300" s="27" t="str">
        <f>HYPERLINK("https://www.bible.com/fr/audio-bible/152/HEB.8.S21","▶ Écouter miroir")</f>
        <v>▶ Écouter miroir</v>
      </c>
    </row>
    <row r="301" spans="1:15">
      <c r="A301" s="9">
        <v>300</v>
      </c>
      <c r="B301" s="5" t="s">
        <v>921</v>
      </c>
      <c r="C301" s="5">
        <v>43</v>
      </c>
      <c r="D301" s="4" t="s">
        <v>922</v>
      </c>
      <c r="E301" s="4" t="s">
        <v>923</v>
      </c>
      <c r="F301" s="5" t="s">
        <v>27</v>
      </c>
      <c r="G301" s="5" t="s">
        <v>19</v>
      </c>
      <c r="H301" s="5" t="s">
        <v>34</v>
      </c>
      <c r="I301" s="5" t="s">
        <v>18</v>
      </c>
      <c r="J301" s="4" t="s">
        <v>35</v>
      </c>
      <c r="K301" s="4" t="s">
        <v>23</v>
      </c>
      <c r="L301" s="10"/>
      <c r="M301" s="26" t="str">
        <f>HYPERLINK("https://www.bible.com/fr/audio-bible/152/JER.17.S21","▶ Écouter AT")</f>
        <v>▶ Écouter AT</v>
      </c>
      <c r="N301" s="22" t="str">
        <f>HYPERLINK("https://www.bible.com/fr/audio-bible/152/1PE.3.S21","▶ Écouter NT")</f>
        <v>▶ Écouter NT</v>
      </c>
      <c r="O301" s="27"/>
    </row>
    <row r="302" spans="1:15">
      <c r="A302" s="9">
        <v>301</v>
      </c>
      <c r="B302" s="5" t="s">
        <v>924</v>
      </c>
      <c r="C302" s="5">
        <v>43</v>
      </c>
      <c r="D302" s="4" t="s">
        <v>925</v>
      </c>
      <c r="E302" s="4" t="s">
        <v>926</v>
      </c>
      <c r="F302" s="5" t="s">
        <v>27</v>
      </c>
      <c r="G302" s="5" t="s">
        <v>33</v>
      </c>
      <c r="H302" s="5" t="s">
        <v>34</v>
      </c>
      <c r="I302" s="5" t="s">
        <v>18</v>
      </c>
      <c r="J302" s="4" t="s">
        <v>35</v>
      </c>
      <c r="K302" s="4" t="s">
        <v>23</v>
      </c>
      <c r="L302" s="10"/>
      <c r="M302" s="26" t="str">
        <f>HYPERLINK("https://www.bible.com/fr/audio-bible/152/JER.19.S21","▶ Écouter AT")</f>
        <v>▶ Écouter AT</v>
      </c>
      <c r="N302" s="22" t="str">
        <f>HYPERLINK("https://www.bible.com/fr/audio-bible/152/ACT.25.S21","▶ Écouter NT")</f>
        <v>▶ Écouter NT</v>
      </c>
      <c r="O302" s="27" t="str">
        <f>HYPERLINK("https://www.bible.com/fr/audio-bible/152/HEB.8.S21","▶ Écouter miroir")</f>
        <v>▶ Écouter miroir</v>
      </c>
    </row>
    <row r="303" spans="1:15" ht="27.6">
      <c r="A303" s="9">
        <v>302</v>
      </c>
      <c r="B303" s="5" t="s">
        <v>927</v>
      </c>
      <c r="C303" s="5">
        <v>44</v>
      </c>
      <c r="D303" s="4" t="s">
        <v>928</v>
      </c>
      <c r="E303" s="4" t="s">
        <v>423</v>
      </c>
      <c r="F303" s="5" t="s">
        <v>18</v>
      </c>
      <c r="G303" s="5" t="s">
        <v>19</v>
      </c>
      <c r="H303" s="5" t="s">
        <v>424</v>
      </c>
      <c r="I303" s="5" t="s">
        <v>122</v>
      </c>
      <c r="J303" s="4" t="s">
        <v>425</v>
      </c>
      <c r="K303" s="4" t="s">
        <v>23</v>
      </c>
      <c r="L303" s="10"/>
      <c r="M303" s="26" t="str">
        <f>HYPERLINK("https://www.bible.com/fr/audio-bible/152/JER.22.S21","▶ Écouter AT")</f>
        <v>▶ Écouter AT</v>
      </c>
      <c r="N303" s="22" t="str">
        <f>HYPERLINK("https://www.bible.com/fr/audio-bible/152/2PE.3.S21","▶ Écouter NT")</f>
        <v>▶ Écouter NT</v>
      </c>
      <c r="O303" s="27"/>
    </row>
    <row r="304" spans="1:15" ht="27.6">
      <c r="A304" s="9">
        <v>303</v>
      </c>
      <c r="B304" s="5" t="s">
        <v>929</v>
      </c>
      <c r="C304" s="5">
        <v>44</v>
      </c>
      <c r="D304" s="4" t="s">
        <v>930</v>
      </c>
      <c r="E304" s="4" t="s">
        <v>423</v>
      </c>
      <c r="F304" s="5" t="s">
        <v>18</v>
      </c>
      <c r="G304" s="5" t="s">
        <v>19</v>
      </c>
      <c r="H304" s="5" t="s">
        <v>424</v>
      </c>
      <c r="I304" s="5" t="s">
        <v>122</v>
      </c>
      <c r="J304" s="4" t="s">
        <v>425</v>
      </c>
      <c r="K304" s="4" t="s">
        <v>23</v>
      </c>
      <c r="L304" s="10"/>
      <c r="M304" s="26" t="str">
        <f>HYPERLINK("https://www.bible.com/fr/audio-bible/152/JER.24.S21","▶ Écouter AT")</f>
        <v>▶ Écouter AT</v>
      </c>
      <c r="N304" s="22" t="str">
        <f>HYPERLINK("https://www.bible.com/fr/audio-bible/152/2PE.3.S21","▶ Écouter NT")</f>
        <v>▶ Écouter NT</v>
      </c>
      <c r="O304" s="27"/>
    </row>
    <row r="305" spans="1:15" ht="27.6">
      <c r="A305" s="9">
        <v>304</v>
      </c>
      <c r="B305" s="5" t="s">
        <v>931</v>
      </c>
      <c r="C305" s="5">
        <v>44</v>
      </c>
      <c r="D305" s="4" t="s">
        <v>932</v>
      </c>
      <c r="E305" s="4" t="s">
        <v>423</v>
      </c>
      <c r="F305" s="5" t="s">
        <v>18</v>
      </c>
      <c r="G305" s="5" t="s">
        <v>19</v>
      </c>
      <c r="H305" s="5" t="s">
        <v>424</v>
      </c>
      <c r="I305" s="5" t="s">
        <v>122</v>
      </c>
      <c r="J305" s="4" t="s">
        <v>425</v>
      </c>
      <c r="K305" s="4" t="s">
        <v>23</v>
      </c>
      <c r="L305" s="10"/>
      <c r="M305" s="26" t="str">
        <f>HYPERLINK("https://www.bible.com/fr/audio-bible/152/JER.27.S21","▶ Écouter AT")</f>
        <v>▶ Écouter AT</v>
      </c>
      <c r="N305" s="22" t="str">
        <f>HYPERLINK("https://www.bible.com/fr/audio-bible/152/2PE.3.S21","▶ Écouter NT")</f>
        <v>▶ Écouter NT</v>
      </c>
      <c r="O305" s="27"/>
    </row>
    <row r="306" spans="1:15" ht="27.6">
      <c r="A306" s="9">
        <v>305</v>
      </c>
      <c r="B306" s="5" t="s">
        <v>933</v>
      </c>
      <c r="C306" s="5">
        <v>44</v>
      </c>
      <c r="D306" s="4" t="s">
        <v>934</v>
      </c>
      <c r="E306" s="4" t="s">
        <v>935</v>
      </c>
      <c r="F306" s="5" t="s">
        <v>27</v>
      </c>
      <c r="G306" s="5" t="s">
        <v>936</v>
      </c>
      <c r="H306" s="5" t="s">
        <v>937</v>
      </c>
      <c r="I306" s="5" t="s">
        <v>212</v>
      </c>
      <c r="J306" s="4" t="s">
        <v>938</v>
      </c>
      <c r="K306" s="4" t="s">
        <v>23</v>
      </c>
      <c r="L306" s="10"/>
      <c r="M306" s="26" t="str">
        <f>HYPERLINK("https://www.bible.com/fr/audio-bible/152/JER.29.S21","▶ Écouter AT")</f>
        <v>▶ Écouter AT</v>
      </c>
      <c r="N306" s="22" t="str">
        <f>HYPERLINK("https://www.bible.com/fr/audio-bible/152/2CO.3.S21","▶ Écouter NT")</f>
        <v>▶ Écouter NT</v>
      </c>
      <c r="O306" s="27" t="str">
        <f>HYPERLINK("https://www.bible.com/fr/audio-bible/152/LUK.22.S21","▶ Écouter miroir")</f>
        <v>▶ Écouter miroir</v>
      </c>
    </row>
    <row r="307" spans="1:15">
      <c r="A307" s="9">
        <v>306</v>
      </c>
      <c r="B307" s="5" t="s">
        <v>939</v>
      </c>
      <c r="C307" s="5">
        <v>44</v>
      </c>
      <c r="D307" s="4" t="s">
        <v>940</v>
      </c>
      <c r="E307" s="4" t="s">
        <v>941</v>
      </c>
      <c r="F307" s="5" t="s">
        <v>27</v>
      </c>
      <c r="G307" s="5" t="s">
        <v>19</v>
      </c>
      <c r="H307" s="5" t="s">
        <v>211</v>
      </c>
      <c r="I307" s="5" t="s">
        <v>212</v>
      </c>
      <c r="J307" s="4" t="s">
        <v>213</v>
      </c>
      <c r="K307" s="4" t="s">
        <v>23</v>
      </c>
      <c r="L307" s="10"/>
      <c r="M307" s="26" t="str">
        <f>HYPERLINK("https://www.bible.com/fr/audio-bible/152/JER.32.S21","▶ Écouter AT")</f>
        <v>▶ Écouter AT</v>
      </c>
      <c r="N307" s="22" t="str">
        <f>HYPERLINK("https://www.bible.com/fr/audio-bible/152/ACT.4.S21","▶ Écouter NT")</f>
        <v>▶ Écouter NT</v>
      </c>
      <c r="O307" s="27"/>
    </row>
    <row r="308" spans="1:15" ht="27.6">
      <c r="A308" s="9">
        <v>307</v>
      </c>
      <c r="B308" s="5" t="s">
        <v>942</v>
      </c>
      <c r="C308" s="5">
        <v>44</v>
      </c>
      <c r="D308" s="4" t="s">
        <v>943</v>
      </c>
      <c r="E308" s="4" t="s">
        <v>423</v>
      </c>
      <c r="F308" s="5" t="s">
        <v>18</v>
      </c>
      <c r="G308" s="5" t="s">
        <v>19</v>
      </c>
      <c r="H308" s="5" t="s">
        <v>424</v>
      </c>
      <c r="I308" s="5" t="s">
        <v>122</v>
      </c>
      <c r="J308" s="4" t="s">
        <v>425</v>
      </c>
      <c r="K308" s="4" t="s">
        <v>23</v>
      </c>
      <c r="L308" s="10"/>
      <c r="M308" s="26" t="str">
        <f>HYPERLINK("https://www.bible.com/fr/audio-bible/152/JER.34.S21","▶ Écouter AT")</f>
        <v>▶ Écouter AT</v>
      </c>
      <c r="N308" s="22" t="str">
        <f>HYPERLINK("https://www.bible.com/fr/audio-bible/152/2PE.3.S21","▶ Écouter NT")</f>
        <v>▶ Écouter NT</v>
      </c>
      <c r="O308" s="27"/>
    </row>
    <row r="309" spans="1:15" ht="27.6">
      <c r="A309" s="9">
        <v>308</v>
      </c>
      <c r="B309" s="5" t="s">
        <v>944</v>
      </c>
      <c r="C309" s="5">
        <v>44</v>
      </c>
      <c r="D309" s="4" t="s">
        <v>945</v>
      </c>
      <c r="E309" s="4" t="s">
        <v>423</v>
      </c>
      <c r="F309" s="5" t="s">
        <v>18</v>
      </c>
      <c r="G309" s="5" t="s">
        <v>19</v>
      </c>
      <c r="H309" s="5" t="s">
        <v>424</v>
      </c>
      <c r="I309" s="5" t="s">
        <v>122</v>
      </c>
      <c r="J309" s="4" t="s">
        <v>425</v>
      </c>
      <c r="K309" s="4" t="s">
        <v>23</v>
      </c>
      <c r="L309" s="10"/>
      <c r="M309" s="26" t="str">
        <f>HYPERLINK("https://www.bible.com/fr/audio-bible/152/JER.37.S21","▶ Écouter AT")</f>
        <v>▶ Écouter AT</v>
      </c>
      <c r="N309" s="22" t="str">
        <f>HYPERLINK("https://www.bible.com/fr/audio-bible/152/2PE.3.S21","▶ Écouter NT")</f>
        <v>▶ Écouter NT</v>
      </c>
      <c r="O309" s="27"/>
    </row>
    <row r="310" spans="1:15" ht="27.6">
      <c r="A310" s="9">
        <v>309</v>
      </c>
      <c r="B310" s="5" t="s">
        <v>946</v>
      </c>
      <c r="C310" s="5">
        <v>45</v>
      </c>
      <c r="D310" s="4" t="s">
        <v>947</v>
      </c>
      <c r="E310" s="4" t="s">
        <v>423</v>
      </c>
      <c r="F310" s="5" t="s">
        <v>18</v>
      </c>
      <c r="G310" s="5" t="s">
        <v>19</v>
      </c>
      <c r="H310" s="5" t="s">
        <v>424</v>
      </c>
      <c r="I310" s="5" t="s">
        <v>122</v>
      </c>
      <c r="J310" s="4" t="s">
        <v>425</v>
      </c>
      <c r="K310" s="4" t="s">
        <v>23</v>
      </c>
      <c r="L310" s="10"/>
      <c r="M310" s="26" t="str">
        <f>HYPERLINK("https://www.bible.com/fr/audio-bible/152/JER.39.S21","▶ Écouter AT")</f>
        <v>▶ Écouter AT</v>
      </c>
      <c r="N310" s="22" t="str">
        <f>HYPERLINK("https://www.bible.com/fr/audio-bible/152/2PE.3.S21","▶ Écouter NT")</f>
        <v>▶ Écouter NT</v>
      </c>
      <c r="O310" s="27"/>
    </row>
    <row r="311" spans="1:15" ht="27.6">
      <c r="A311" s="9">
        <v>310</v>
      </c>
      <c r="B311" s="5" t="s">
        <v>948</v>
      </c>
      <c r="C311" s="5">
        <v>45</v>
      </c>
      <c r="D311" s="4" t="s">
        <v>949</v>
      </c>
      <c r="E311" s="4" t="s">
        <v>950</v>
      </c>
      <c r="F311" s="5" t="s">
        <v>27</v>
      </c>
      <c r="G311" s="5" t="s">
        <v>423</v>
      </c>
      <c r="H311" s="5" t="s">
        <v>424</v>
      </c>
      <c r="I311" s="5" t="s">
        <v>122</v>
      </c>
      <c r="J311" s="4" t="s">
        <v>425</v>
      </c>
      <c r="K311" s="4" t="s">
        <v>23</v>
      </c>
      <c r="L311" s="10"/>
      <c r="M311" s="26" t="str">
        <f>HYPERLINK("https://www.bible.com/fr/audio-bible/152/JER.42.S21","▶ Écouter AT")</f>
        <v>▶ Écouter AT</v>
      </c>
      <c r="N311" s="22" t="str">
        <f>HYPERLINK("https://www.bible.com/fr/audio-bible/152/2JN.1.S21","▶ Écouter NT")</f>
        <v>▶ Écouter NT</v>
      </c>
      <c r="O311" s="27" t="str">
        <f>HYPERLINK("https://www.bible.com/fr/audio-bible/152/2PE.3.S21","▶ Écouter miroir")</f>
        <v>▶ Écouter miroir</v>
      </c>
    </row>
    <row r="312" spans="1:15" ht="27.6">
      <c r="A312" s="9">
        <v>311</v>
      </c>
      <c r="B312" s="5" t="s">
        <v>951</v>
      </c>
      <c r="C312" s="5">
        <v>45</v>
      </c>
      <c r="D312" s="4" t="s">
        <v>952</v>
      </c>
      <c r="E312" s="4" t="s">
        <v>953</v>
      </c>
      <c r="F312" s="5" t="s">
        <v>27</v>
      </c>
      <c r="G312" s="5" t="s">
        <v>97</v>
      </c>
      <c r="H312" s="5" t="s">
        <v>39</v>
      </c>
      <c r="I312" s="5" t="s">
        <v>40</v>
      </c>
      <c r="J312" s="4" t="s">
        <v>41</v>
      </c>
      <c r="K312" s="4" t="s">
        <v>23</v>
      </c>
      <c r="L312" s="10"/>
      <c r="M312" s="26" t="str">
        <f>HYPERLINK("https://www.bible.com/fr/audio-bible/152/JER.45.S21","▶ Écouter AT")</f>
        <v>▶ Écouter AT</v>
      </c>
      <c r="N312" s="22" t="str">
        <f>HYPERLINK("https://www.bible.com/fr/audio-bible/152/ROM.15.S21","▶ Écouter NT")</f>
        <v>▶ Écouter NT</v>
      </c>
      <c r="O312" s="27" t="str">
        <f>HYPERLINK("https://www.bible.com/fr/audio-bible/152/EPH.3.S21","▶ Écouter miroir")</f>
        <v>▶ Écouter miroir</v>
      </c>
    </row>
    <row r="313" spans="1:15" ht="27.6">
      <c r="A313" s="9">
        <v>312</v>
      </c>
      <c r="B313" s="5" t="s">
        <v>954</v>
      </c>
      <c r="C313" s="5">
        <v>45</v>
      </c>
      <c r="D313" s="4" t="s">
        <v>955</v>
      </c>
      <c r="E313" s="4" t="s">
        <v>956</v>
      </c>
      <c r="F313" s="5" t="s">
        <v>27</v>
      </c>
      <c r="G313" s="5" t="s">
        <v>97</v>
      </c>
      <c r="H313" s="5" t="s">
        <v>39</v>
      </c>
      <c r="I313" s="5" t="s">
        <v>40</v>
      </c>
      <c r="J313" s="4" t="s">
        <v>41</v>
      </c>
      <c r="K313" s="4" t="s">
        <v>23</v>
      </c>
      <c r="L313" s="10"/>
      <c r="M313" s="26" t="str">
        <f>HYPERLINK("https://www.bible.com/fr/audio-bible/152/JER.47.S21","▶ Écouter AT")</f>
        <v>▶ Écouter AT</v>
      </c>
      <c r="N313" s="22" t="str">
        <f>HYPERLINK("https://www.bible.com/fr/audio-bible/152/ROM.16.S21","▶ Écouter NT")</f>
        <v>▶ Écouter NT</v>
      </c>
      <c r="O313" s="27" t="str">
        <f>HYPERLINK("https://www.bible.com/fr/audio-bible/152/EPH.3.S21","▶ Écouter miroir")</f>
        <v>▶ Écouter miroir</v>
      </c>
    </row>
    <row r="314" spans="1:15" ht="27.6">
      <c r="A314" s="9">
        <v>313</v>
      </c>
      <c r="B314" s="5" t="s">
        <v>957</v>
      </c>
      <c r="C314" s="5">
        <v>45</v>
      </c>
      <c r="D314" s="4" t="s">
        <v>958</v>
      </c>
      <c r="E314" s="4" t="s">
        <v>959</v>
      </c>
      <c r="F314" s="5" t="s">
        <v>27</v>
      </c>
      <c r="G314" s="5" t="s">
        <v>97</v>
      </c>
      <c r="H314" s="5" t="s">
        <v>39</v>
      </c>
      <c r="I314" s="5" t="s">
        <v>40</v>
      </c>
      <c r="J314" s="4" t="s">
        <v>41</v>
      </c>
      <c r="K314" s="4" t="s">
        <v>23</v>
      </c>
      <c r="L314" s="10"/>
      <c r="M314" s="26" t="str">
        <f>HYPERLINK("https://www.bible.com/fr/audio-bible/152/JER.50.S21","▶ Écouter AT")</f>
        <v>▶ Écouter AT</v>
      </c>
      <c r="N314" s="22" t="str">
        <f>HYPERLINK("https://www.bible.com/fr/audio-bible/152/EPH.3.S21","▶ Écouter NT")</f>
        <v>▶ Écouter NT</v>
      </c>
      <c r="O314" s="27" t="str">
        <f>HYPERLINK("https://www.bible.com/fr/audio-bible/152/EPH.3.S21","▶ Écouter miroir")</f>
        <v>▶ Écouter miroir</v>
      </c>
    </row>
    <row r="315" spans="1:15" ht="27.6">
      <c r="A315" s="9">
        <v>314</v>
      </c>
      <c r="B315" s="5" t="s">
        <v>960</v>
      </c>
      <c r="C315" s="5">
        <v>45</v>
      </c>
      <c r="D315" s="4" t="s">
        <v>961</v>
      </c>
      <c r="E315" s="4" t="s">
        <v>962</v>
      </c>
      <c r="F315" s="5" t="s">
        <v>27</v>
      </c>
      <c r="G315" s="5" t="s">
        <v>97</v>
      </c>
      <c r="H315" s="5" t="s">
        <v>39</v>
      </c>
      <c r="I315" s="5" t="s">
        <v>40</v>
      </c>
      <c r="J315" s="4" t="s">
        <v>41</v>
      </c>
      <c r="K315" s="4" t="s">
        <v>23</v>
      </c>
      <c r="L315" s="10"/>
      <c r="M315" s="26" t="str">
        <f>HYPERLINK("https://www.bible.com/fr/audio-bible/152/LAM.1.S21","▶ Écouter AT")</f>
        <v>▶ Écouter AT</v>
      </c>
      <c r="N315" s="22" t="str">
        <f>HYPERLINK("https://www.bible.com/fr/audio-bible/152/1PE.1.S21","▶ Écouter NT")</f>
        <v>▶ Écouter NT</v>
      </c>
      <c r="O315" s="27" t="str">
        <f>HYPERLINK("https://www.bible.com/fr/audio-bible/152/EPH.3.S21","▶ Écouter miroir")</f>
        <v>▶ Écouter miroir</v>
      </c>
    </row>
    <row r="316" spans="1:15" ht="27.6">
      <c r="A316" s="9">
        <v>315</v>
      </c>
      <c r="B316" s="5" t="s">
        <v>963</v>
      </c>
      <c r="C316" s="5">
        <v>45</v>
      </c>
      <c r="D316" s="4" t="s">
        <v>964</v>
      </c>
      <c r="E316" s="4" t="s">
        <v>965</v>
      </c>
      <c r="F316" s="5" t="s">
        <v>27</v>
      </c>
      <c r="G316" s="5" t="s">
        <v>19</v>
      </c>
      <c r="H316" s="5" t="s">
        <v>79</v>
      </c>
      <c r="I316" s="5" t="s">
        <v>18</v>
      </c>
      <c r="J316" s="4" t="s">
        <v>80</v>
      </c>
      <c r="K316" s="4" t="s">
        <v>23</v>
      </c>
      <c r="L316" s="10"/>
      <c r="M316" s="26" t="str">
        <f>HYPERLINK("https://www.bible.com/fr/audio-bible/152/LAM.3.S21","▶ Écouter AT")</f>
        <v>▶ Écouter AT</v>
      </c>
      <c r="N316" s="22" t="str">
        <f>HYPERLINK("https://www.bible.com/fr/audio-bible/152/2TH.1.S21","▶ Écouter NT")</f>
        <v>▶ Écouter NT</v>
      </c>
      <c r="O316" s="27"/>
    </row>
    <row r="317" spans="1:15" ht="27.6">
      <c r="A317" s="9">
        <v>316</v>
      </c>
      <c r="B317" s="5" t="s">
        <v>966</v>
      </c>
      <c r="C317" s="5">
        <v>46</v>
      </c>
      <c r="D317" s="4" t="s">
        <v>967</v>
      </c>
      <c r="E317" s="4" t="s">
        <v>968</v>
      </c>
      <c r="F317" s="5" t="s">
        <v>27</v>
      </c>
      <c r="G317" s="5" t="s">
        <v>78</v>
      </c>
      <c r="H317" s="5" t="s">
        <v>79</v>
      </c>
      <c r="I317" s="5" t="s">
        <v>18</v>
      </c>
      <c r="J317" s="4" t="s">
        <v>80</v>
      </c>
      <c r="K317" s="4" t="s">
        <v>23</v>
      </c>
      <c r="L317" s="10"/>
      <c r="M317" s="26" t="str">
        <f>HYPERLINK("https://www.bible.com/fr/audio-bible/152/LAM.5.S21","▶ Écouter AT")</f>
        <v>▶ Écouter AT</v>
      </c>
      <c r="N317" s="22" t="str">
        <f>HYPERLINK("https://www.bible.com/fr/audio-bible/152/2PE.3.S21","▶ Écouter NT")</f>
        <v>▶ Écouter NT</v>
      </c>
      <c r="O317" s="27" t="str">
        <f>HYPERLINK("https://www.bible.com/fr/audio-bible/152/1PE.2.S21","▶ Écouter miroir")</f>
        <v>▶ Écouter miroir</v>
      </c>
    </row>
    <row r="318" spans="1:15" ht="27.6">
      <c r="A318" s="9">
        <v>317</v>
      </c>
      <c r="B318" s="5" t="s">
        <v>969</v>
      </c>
      <c r="C318" s="5">
        <v>46</v>
      </c>
      <c r="D318" s="4" t="s">
        <v>970</v>
      </c>
      <c r="E318" s="4" t="s">
        <v>423</v>
      </c>
      <c r="F318" s="5" t="s">
        <v>18</v>
      </c>
      <c r="G318" s="5" t="s">
        <v>19</v>
      </c>
      <c r="H318" s="5" t="s">
        <v>424</v>
      </c>
      <c r="I318" s="5" t="s">
        <v>122</v>
      </c>
      <c r="J318" s="4" t="s">
        <v>425</v>
      </c>
      <c r="K318" s="4" t="s">
        <v>23</v>
      </c>
      <c r="L318" s="10"/>
      <c r="M318" s="26" t="str">
        <f>HYPERLINK("https://www.bible.com/fr/audio-bible/152/EZK.3.S21","▶ Écouter AT")</f>
        <v>▶ Écouter AT</v>
      </c>
      <c r="N318" s="22" t="str">
        <f>HYPERLINK("https://www.bible.com/fr/audio-bible/152/2PE.3.S21","▶ Écouter NT")</f>
        <v>▶ Écouter NT</v>
      </c>
      <c r="O318" s="27"/>
    </row>
    <row r="319" spans="1:15" ht="27.6">
      <c r="A319" s="9">
        <v>318</v>
      </c>
      <c r="B319" s="5" t="s">
        <v>971</v>
      </c>
      <c r="C319" s="5">
        <v>46</v>
      </c>
      <c r="D319" s="4" t="s">
        <v>972</v>
      </c>
      <c r="E319" s="4" t="s">
        <v>423</v>
      </c>
      <c r="F319" s="5" t="s">
        <v>18</v>
      </c>
      <c r="G319" s="5" t="s">
        <v>19</v>
      </c>
      <c r="H319" s="5" t="s">
        <v>424</v>
      </c>
      <c r="I319" s="5" t="s">
        <v>122</v>
      </c>
      <c r="J319" s="4" t="s">
        <v>425</v>
      </c>
      <c r="K319" s="4" t="s">
        <v>23</v>
      </c>
      <c r="L319" s="10"/>
      <c r="M319" s="26" t="str">
        <f>HYPERLINK("https://www.bible.com/fr/audio-bible/152/EZK.5.S21","▶ Écouter AT")</f>
        <v>▶ Écouter AT</v>
      </c>
      <c r="N319" s="22" t="str">
        <f>HYPERLINK("https://www.bible.com/fr/audio-bible/152/2PE.3.S21","▶ Écouter NT")</f>
        <v>▶ Écouter NT</v>
      </c>
      <c r="O319" s="27"/>
    </row>
    <row r="320" spans="1:15" ht="27.6">
      <c r="A320" s="9">
        <v>319</v>
      </c>
      <c r="B320" s="5" t="s">
        <v>973</v>
      </c>
      <c r="C320" s="5">
        <v>46</v>
      </c>
      <c r="D320" s="4" t="s">
        <v>974</v>
      </c>
      <c r="E320" s="4" t="s">
        <v>423</v>
      </c>
      <c r="F320" s="5" t="s">
        <v>18</v>
      </c>
      <c r="G320" s="5" t="s">
        <v>19</v>
      </c>
      <c r="H320" s="5" t="s">
        <v>424</v>
      </c>
      <c r="I320" s="5" t="s">
        <v>122</v>
      </c>
      <c r="J320" s="4" t="s">
        <v>425</v>
      </c>
      <c r="K320" s="4" t="s">
        <v>23</v>
      </c>
      <c r="L320" s="10"/>
      <c r="M320" s="26" t="str">
        <f>HYPERLINK("https://www.bible.com/fr/audio-bible/152/EZK.8.S21","▶ Écouter AT")</f>
        <v>▶ Écouter AT</v>
      </c>
      <c r="N320" s="22" t="str">
        <f>HYPERLINK("https://www.bible.com/fr/audio-bible/152/2PE.3.S21","▶ Écouter NT")</f>
        <v>▶ Écouter NT</v>
      </c>
      <c r="O320" s="27"/>
    </row>
    <row r="321" spans="1:15" ht="27.6">
      <c r="A321" s="9">
        <v>320</v>
      </c>
      <c r="B321" s="5" t="s">
        <v>975</v>
      </c>
      <c r="C321" s="5">
        <v>46</v>
      </c>
      <c r="D321" s="4" t="s">
        <v>976</v>
      </c>
      <c r="E321" s="4" t="s">
        <v>977</v>
      </c>
      <c r="F321" s="5" t="s">
        <v>27</v>
      </c>
      <c r="G321" s="5" t="s">
        <v>423</v>
      </c>
      <c r="H321" s="5" t="s">
        <v>424</v>
      </c>
      <c r="I321" s="5" t="s">
        <v>122</v>
      </c>
      <c r="J321" s="4" t="s">
        <v>425</v>
      </c>
      <c r="K321" s="4" t="s">
        <v>23</v>
      </c>
      <c r="L321" s="10"/>
      <c r="M321" s="26" t="str">
        <f>HYPERLINK("https://www.bible.com/fr/audio-bible/152/EZK.10.S21","▶ Écouter AT")</f>
        <v>▶ Écouter AT</v>
      </c>
      <c r="N321" s="22" t="str">
        <f>HYPERLINK("https://www.bible.com/fr/audio-bible/152/JAS.4.S21","▶ Écouter NT")</f>
        <v>▶ Écouter NT</v>
      </c>
      <c r="O321" s="27" t="str">
        <f>HYPERLINK("https://www.bible.com/fr/audio-bible/152/2PE.3.S21","▶ Écouter miroir")</f>
        <v>▶ Écouter miroir</v>
      </c>
    </row>
    <row r="322" spans="1:15" ht="27.6">
      <c r="A322" s="9">
        <v>321</v>
      </c>
      <c r="B322" s="5" t="s">
        <v>978</v>
      </c>
      <c r="C322" s="5">
        <v>46</v>
      </c>
      <c r="D322" s="4" t="s">
        <v>979</v>
      </c>
      <c r="E322" s="4" t="s">
        <v>980</v>
      </c>
      <c r="F322" s="5" t="s">
        <v>27</v>
      </c>
      <c r="G322" s="5" t="s">
        <v>423</v>
      </c>
      <c r="H322" s="5" t="s">
        <v>424</v>
      </c>
      <c r="I322" s="5" t="s">
        <v>122</v>
      </c>
      <c r="J322" s="4" t="s">
        <v>425</v>
      </c>
      <c r="K322" s="4" t="s">
        <v>23</v>
      </c>
      <c r="L322" s="10"/>
      <c r="M322" s="26" t="str">
        <f>HYPERLINK("https://www.bible.com/fr/audio-bible/152/EZK.13.S21","▶ Écouter AT")</f>
        <v>▶ Écouter AT</v>
      </c>
      <c r="N322" s="22" t="str">
        <f>HYPERLINK("https://www.bible.com/fr/audio-bible/152/2PE.2.S21","▶ Écouter NT")</f>
        <v>▶ Écouter NT</v>
      </c>
      <c r="O322" s="27" t="str">
        <f>HYPERLINK("https://www.bible.com/fr/audio-bible/152/2PE.3.S21","▶ Écouter miroir")</f>
        <v>▶ Écouter miroir</v>
      </c>
    </row>
    <row r="323" spans="1:15" ht="27.6">
      <c r="A323" s="9">
        <v>322</v>
      </c>
      <c r="B323" s="5" t="s">
        <v>981</v>
      </c>
      <c r="C323" s="5">
        <v>46</v>
      </c>
      <c r="D323" s="4" t="s">
        <v>982</v>
      </c>
      <c r="E323" s="4" t="s">
        <v>423</v>
      </c>
      <c r="F323" s="5" t="s">
        <v>18</v>
      </c>
      <c r="G323" s="5" t="s">
        <v>19</v>
      </c>
      <c r="H323" s="5" t="s">
        <v>424</v>
      </c>
      <c r="I323" s="5" t="s">
        <v>122</v>
      </c>
      <c r="J323" s="4" t="s">
        <v>425</v>
      </c>
      <c r="K323" s="4" t="s">
        <v>23</v>
      </c>
      <c r="L323" s="10"/>
      <c r="M323" s="26" t="str">
        <f>HYPERLINK("https://www.bible.com/fr/audio-bible/152/EZK.16.S21","▶ Écouter AT")</f>
        <v>▶ Écouter AT</v>
      </c>
      <c r="N323" s="22" t="str">
        <f>HYPERLINK("https://www.bible.com/fr/audio-bible/152/2PE.3.S21","▶ Écouter NT")</f>
        <v>▶ Écouter NT</v>
      </c>
      <c r="O323" s="27"/>
    </row>
    <row r="324" spans="1:15" ht="27.6">
      <c r="A324" s="9">
        <v>323</v>
      </c>
      <c r="B324" s="5" t="s">
        <v>983</v>
      </c>
      <c r="C324" s="5">
        <v>47</v>
      </c>
      <c r="D324" s="4" t="s">
        <v>984</v>
      </c>
      <c r="E324" s="4" t="s">
        <v>423</v>
      </c>
      <c r="F324" s="5" t="s">
        <v>18</v>
      </c>
      <c r="G324" s="5" t="s">
        <v>19</v>
      </c>
      <c r="H324" s="5" t="s">
        <v>424</v>
      </c>
      <c r="I324" s="5" t="s">
        <v>122</v>
      </c>
      <c r="J324" s="4" t="s">
        <v>425</v>
      </c>
      <c r="K324" s="4" t="s">
        <v>23</v>
      </c>
      <c r="L324" s="10"/>
      <c r="M324" s="26" t="str">
        <f>HYPERLINK("https://www.bible.com/fr/audio-bible/152/EZK.18.S21","▶ Écouter AT")</f>
        <v>▶ Écouter AT</v>
      </c>
      <c r="N324" s="22" t="str">
        <f>HYPERLINK("https://www.bible.com/fr/audio-bible/152/2PE.3.S21","▶ Écouter NT")</f>
        <v>▶ Écouter NT</v>
      </c>
      <c r="O324" s="27"/>
    </row>
    <row r="325" spans="1:15" ht="27.6">
      <c r="A325" s="9">
        <v>324</v>
      </c>
      <c r="B325" s="5" t="s">
        <v>985</v>
      </c>
      <c r="C325" s="5">
        <v>47</v>
      </c>
      <c r="D325" s="4" t="s">
        <v>986</v>
      </c>
      <c r="E325" s="4" t="s">
        <v>987</v>
      </c>
      <c r="F325" s="5" t="s">
        <v>27</v>
      </c>
      <c r="G325" s="5" t="s">
        <v>423</v>
      </c>
      <c r="H325" s="5" t="s">
        <v>424</v>
      </c>
      <c r="I325" s="5" t="s">
        <v>122</v>
      </c>
      <c r="J325" s="4" t="s">
        <v>425</v>
      </c>
      <c r="K325" s="4" t="s">
        <v>23</v>
      </c>
      <c r="L325" s="10"/>
      <c r="M325" s="26" t="str">
        <f>HYPERLINK("https://www.bible.com/fr/audio-bible/152/EZK.21.S21","▶ Écouter AT")</f>
        <v>▶ Écouter AT</v>
      </c>
      <c r="N325" s="22" t="str">
        <f>HYPERLINK("https://www.bible.com/fr/audio-bible/152/1JN.1.S21","▶ Écouter NT")</f>
        <v>▶ Écouter NT</v>
      </c>
      <c r="O325" s="27" t="str">
        <f>HYPERLINK("https://www.bible.com/fr/audio-bible/152/2PE.3.S21","▶ Écouter miroir")</f>
        <v>▶ Écouter miroir</v>
      </c>
    </row>
    <row r="326" spans="1:15" ht="27.6">
      <c r="A326" s="9">
        <v>325</v>
      </c>
      <c r="B326" s="5" t="s">
        <v>988</v>
      </c>
      <c r="C326" s="5">
        <v>47</v>
      </c>
      <c r="D326" s="4" t="s">
        <v>989</v>
      </c>
      <c r="E326" s="4" t="s">
        <v>97</v>
      </c>
      <c r="F326" s="5" t="s">
        <v>18</v>
      </c>
      <c r="G326" s="5" t="s">
        <v>19</v>
      </c>
      <c r="H326" s="5" t="s">
        <v>39</v>
      </c>
      <c r="I326" s="5" t="s">
        <v>40</v>
      </c>
      <c r="J326" s="4" t="s">
        <v>41</v>
      </c>
      <c r="K326" s="4" t="s">
        <v>23</v>
      </c>
      <c r="L326" s="10"/>
      <c r="M326" s="26" t="str">
        <f>HYPERLINK("https://www.bible.com/fr/audio-bible/152/EZK.23.S21","▶ Écouter AT")</f>
        <v>▶ Écouter AT</v>
      </c>
      <c r="N326" s="22" t="str">
        <f>HYPERLINK("https://www.bible.com/fr/audio-bible/152/EPH.3.S21","▶ Écouter NT")</f>
        <v>▶ Écouter NT</v>
      </c>
      <c r="O326" s="27"/>
    </row>
    <row r="327" spans="1:15" ht="27.6">
      <c r="A327" s="9">
        <v>326</v>
      </c>
      <c r="B327" s="5" t="s">
        <v>990</v>
      </c>
      <c r="C327" s="5">
        <v>47</v>
      </c>
      <c r="D327" s="4" t="s">
        <v>991</v>
      </c>
      <c r="E327" s="4" t="s">
        <v>97</v>
      </c>
      <c r="F327" s="5" t="s">
        <v>18</v>
      </c>
      <c r="G327" s="5" t="s">
        <v>19</v>
      </c>
      <c r="H327" s="5" t="s">
        <v>39</v>
      </c>
      <c r="I327" s="5" t="s">
        <v>40</v>
      </c>
      <c r="J327" s="4" t="s">
        <v>41</v>
      </c>
      <c r="K327" s="4" t="s">
        <v>23</v>
      </c>
      <c r="L327" s="10"/>
      <c r="M327" s="26" t="str">
        <f>HYPERLINK("https://www.bible.com/fr/audio-bible/152/EZK.26.S21","▶ Écouter AT")</f>
        <v>▶ Écouter AT</v>
      </c>
      <c r="N327" s="22" t="str">
        <f>HYPERLINK("https://www.bible.com/fr/audio-bible/152/EPH.3.S21","▶ Écouter NT")</f>
        <v>▶ Écouter NT</v>
      </c>
      <c r="O327" s="27"/>
    </row>
    <row r="328" spans="1:15" ht="27.6">
      <c r="A328" s="9">
        <v>327</v>
      </c>
      <c r="B328" s="5" t="s">
        <v>992</v>
      </c>
      <c r="C328" s="5">
        <v>47</v>
      </c>
      <c r="D328" s="4" t="s">
        <v>993</v>
      </c>
      <c r="E328" s="4" t="s">
        <v>994</v>
      </c>
      <c r="F328" s="5" t="s">
        <v>27</v>
      </c>
      <c r="G328" s="5" t="s">
        <v>19</v>
      </c>
      <c r="H328" s="5" t="s">
        <v>39</v>
      </c>
      <c r="I328" s="5" t="s">
        <v>40</v>
      </c>
      <c r="J328" s="4" t="s">
        <v>41</v>
      </c>
      <c r="K328" s="4" t="s">
        <v>23</v>
      </c>
      <c r="L328" s="10"/>
      <c r="M328" s="26" t="str">
        <f>HYPERLINK("https://www.bible.com/fr/audio-bible/152/EZK.28.S21","▶ Écouter AT")</f>
        <v>▶ Écouter AT</v>
      </c>
      <c r="N328" s="22" t="str">
        <f>HYPERLINK("https://www.bible.com/fr/audio-bible/152/REV.7.S21","▶ Écouter NT")</f>
        <v>▶ Écouter NT</v>
      </c>
      <c r="O328" s="27"/>
    </row>
    <row r="329" spans="1:15" ht="27.6">
      <c r="A329" s="9">
        <v>328</v>
      </c>
      <c r="B329" s="5" t="s">
        <v>995</v>
      </c>
      <c r="C329" s="5">
        <v>47</v>
      </c>
      <c r="D329" s="4" t="s">
        <v>996</v>
      </c>
      <c r="E329" s="4" t="s">
        <v>997</v>
      </c>
      <c r="F329" s="5" t="s">
        <v>27</v>
      </c>
      <c r="G329" s="5" t="s">
        <v>19</v>
      </c>
      <c r="H329" s="5" t="s">
        <v>39</v>
      </c>
      <c r="I329" s="5" t="s">
        <v>40</v>
      </c>
      <c r="J329" s="4" t="s">
        <v>41</v>
      </c>
      <c r="K329" s="4" t="s">
        <v>23</v>
      </c>
      <c r="L329" s="10"/>
      <c r="M329" s="26" t="str">
        <f>HYPERLINK("https://www.bible.com/fr/audio-bible/152/EZK.31.S21","▶ Écouter AT")</f>
        <v>▶ Écouter AT</v>
      </c>
      <c r="N329" s="22" t="str">
        <f>HYPERLINK("https://www.bible.com/fr/audio-bible/152/REV.6.S21","▶ Écouter NT")</f>
        <v>▶ Écouter NT</v>
      </c>
      <c r="O329" s="27"/>
    </row>
    <row r="330" spans="1:15">
      <c r="A330" s="9">
        <v>329</v>
      </c>
      <c r="B330" s="5" t="s">
        <v>998</v>
      </c>
      <c r="C330" s="5">
        <v>47</v>
      </c>
      <c r="D330" s="4" t="s">
        <v>999</v>
      </c>
      <c r="E330" s="4" t="s">
        <v>1000</v>
      </c>
      <c r="F330" s="5" t="s">
        <v>27</v>
      </c>
      <c r="G330" s="5" t="s">
        <v>1001</v>
      </c>
      <c r="H330" s="5" t="s">
        <v>1002</v>
      </c>
      <c r="I330" s="5" t="s">
        <v>57</v>
      </c>
      <c r="J330" s="4" t="s">
        <v>1003</v>
      </c>
      <c r="K330" s="4" t="s">
        <v>23</v>
      </c>
      <c r="L330" s="10"/>
      <c r="M330" s="26" t="str">
        <f>HYPERLINK("https://www.bible.com/fr/audio-bible/152/EZK.33.S21","▶ Écouter AT")</f>
        <v>▶ Écouter AT</v>
      </c>
      <c r="N330" s="22" t="str">
        <f>HYPERLINK("https://www.bible.com/fr/audio-bible/152/JHN.9.S21","▶ Écouter NT")</f>
        <v>▶ Écouter NT</v>
      </c>
      <c r="O330" s="27" t="str">
        <f>HYPERLINK("https://www.bible.com/fr/audio-bible/152/JHN.10.S21","▶ Écouter miroir")</f>
        <v>▶ Écouter miroir</v>
      </c>
    </row>
    <row r="331" spans="1:15" ht="27.6">
      <c r="A331" s="9">
        <v>330</v>
      </c>
      <c r="B331" s="5" t="s">
        <v>1004</v>
      </c>
      <c r="C331" s="5">
        <v>48</v>
      </c>
      <c r="D331" s="4" t="s">
        <v>1005</v>
      </c>
      <c r="E331" s="4" t="s">
        <v>1006</v>
      </c>
      <c r="F331" s="5" t="s">
        <v>27</v>
      </c>
      <c r="G331" s="5" t="s">
        <v>936</v>
      </c>
      <c r="H331" s="5" t="s">
        <v>937</v>
      </c>
      <c r="I331" s="5" t="s">
        <v>212</v>
      </c>
      <c r="J331" s="4" t="s">
        <v>938</v>
      </c>
      <c r="K331" s="4" t="s">
        <v>23</v>
      </c>
      <c r="L331" s="10"/>
      <c r="M331" s="26" t="str">
        <f>HYPERLINK("https://www.bible.com/fr/audio-bible/152/EZK.36.S21","▶ Écouter AT")</f>
        <v>▶ Écouter AT</v>
      </c>
      <c r="N331" s="22" t="str">
        <f>HYPERLINK("https://www.bible.com/fr/audio-bible/152/JHN.3.S21","▶ Écouter NT")</f>
        <v>▶ Écouter NT</v>
      </c>
      <c r="O331" s="27" t="str">
        <f>HYPERLINK("https://www.bible.com/fr/audio-bible/152/LUK.22.S21","▶ Écouter miroir")</f>
        <v>▶ Écouter miroir</v>
      </c>
    </row>
    <row r="332" spans="1:15">
      <c r="A332" s="9">
        <v>331</v>
      </c>
      <c r="B332" s="5" t="s">
        <v>1007</v>
      </c>
      <c r="C332" s="5">
        <v>48</v>
      </c>
      <c r="D332" s="4" t="s">
        <v>1008</v>
      </c>
      <c r="E332" s="4" t="s">
        <v>1009</v>
      </c>
      <c r="F332" s="5" t="s">
        <v>27</v>
      </c>
      <c r="G332" s="5" t="s">
        <v>19</v>
      </c>
      <c r="H332" s="5" t="s">
        <v>752</v>
      </c>
      <c r="I332" s="5" t="s">
        <v>212</v>
      </c>
      <c r="J332" s="4" t="s">
        <v>753</v>
      </c>
      <c r="K332" s="4" t="s">
        <v>23</v>
      </c>
      <c r="L332" s="10"/>
      <c r="M332" s="26" t="str">
        <f>HYPERLINK("https://www.bible.com/fr/audio-bible/152/EZK.38.S21","▶ Écouter AT")</f>
        <v>▶ Écouter AT</v>
      </c>
      <c r="N332" s="22" t="str">
        <f>HYPERLINK("https://www.bible.com/fr/audio-bible/152/REV.21.S21","▶ Écouter NT")</f>
        <v>▶ Écouter NT</v>
      </c>
      <c r="O332" s="27"/>
    </row>
    <row r="333" spans="1:15" ht="27.6">
      <c r="A333" s="9">
        <v>332</v>
      </c>
      <c r="B333" s="5" t="s">
        <v>1010</v>
      </c>
      <c r="C333" s="5">
        <v>48</v>
      </c>
      <c r="D333" s="4" t="s">
        <v>1011</v>
      </c>
      <c r="E333" s="4" t="s">
        <v>1012</v>
      </c>
      <c r="F333" s="5" t="s">
        <v>27</v>
      </c>
      <c r="G333" s="5" t="s">
        <v>487</v>
      </c>
      <c r="H333" s="5" t="s">
        <v>414</v>
      </c>
      <c r="I333" s="5" t="s">
        <v>57</v>
      </c>
      <c r="J333" s="4" t="s">
        <v>415</v>
      </c>
      <c r="K333" s="4" t="s">
        <v>23</v>
      </c>
      <c r="L333" s="10"/>
      <c r="M333" s="26" t="str">
        <f>HYPERLINK("https://www.bible.com/fr/audio-bible/152/EZK.41.S21","▶ Écouter AT")</f>
        <v>▶ Écouter AT</v>
      </c>
      <c r="N333" s="22" t="str">
        <f>HYPERLINK("https://www.bible.com/fr/audio-bible/152/3JN.1.S21","▶ Écouter NT")</f>
        <v>▶ Écouter NT</v>
      </c>
      <c r="O333" s="27" t="str">
        <f>HYPERLINK("https://www.bible.com/fr/audio-bible/152/1CO.3.S21","▶ Écouter miroir")</f>
        <v>▶ Écouter miroir</v>
      </c>
    </row>
    <row r="334" spans="1:15">
      <c r="A334" s="9">
        <v>333</v>
      </c>
      <c r="B334" s="5" t="s">
        <v>1013</v>
      </c>
      <c r="C334" s="5">
        <v>48</v>
      </c>
      <c r="D334" s="4" t="s">
        <v>1014</v>
      </c>
      <c r="E334" s="4" t="s">
        <v>1015</v>
      </c>
      <c r="F334" s="5" t="s">
        <v>27</v>
      </c>
      <c r="G334" s="5" t="s">
        <v>19</v>
      </c>
      <c r="H334" s="5" t="s">
        <v>131</v>
      </c>
      <c r="I334" s="5" t="s">
        <v>57</v>
      </c>
      <c r="J334" s="4" t="s">
        <v>132</v>
      </c>
      <c r="K334" s="4" t="s">
        <v>23</v>
      </c>
      <c r="L334" s="10"/>
      <c r="M334" s="26" t="str">
        <f>HYPERLINK("https://www.bible.com/fr/audio-bible/152/EZK.44.S21","▶ Écouter AT")</f>
        <v>▶ Écouter AT</v>
      </c>
      <c r="N334" s="22" t="str">
        <f>HYPERLINK("https://www.bible.com/fr/audio-bible/152/1PE.2.S21","▶ Écouter NT")</f>
        <v>▶ Écouter NT</v>
      </c>
      <c r="O334" s="27"/>
    </row>
    <row r="335" spans="1:15">
      <c r="A335" s="9">
        <v>334</v>
      </c>
      <c r="B335" s="5" t="s">
        <v>1016</v>
      </c>
      <c r="C335" s="5">
        <v>48</v>
      </c>
      <c r="D335" s="4" t="s">
        <v>1017</v>
      </c>
      <c r="E335" s="4" t="s">
        <v>1018</v>
      </c>
      <c r="F335" s="5" t="s">
        <v>27</v>
      </c>
      <c r="G335" s="5" t="s">
        <v>130</v>
      </c>
      <c r="H335" s="5" t="s">
        <v>131</v>
      </c>
      <c r="I335" s="5" t="s">
        <v>57</v>
      </c>
      <c r="J335" s="4" t="s">
        <v>132</v>
      </c>
      <c r="K335" s="4" t="s">
        <v>23</v>
      </c>
      <c r="L335" s="10"/>
      <c r="M335" s="26" t="str">
        <f>HYPERLINK("https://www.bible.com/fr/audio-bible/152/EZK.46.S21","▶ Écouter AT")</f>
        <v>▶ Écouter AT</v>
      </c>
      <c r="N335" s="22" t="str">
        <f>HYPERLINK("https://www.bible.com/fr/audio-bible/152/TIT.2.S21","▶ Écouter NT")</f>
        <v>▶ Écouter NT</v>
      </c>
      <c r="O335" s="27" t="str">
        <f>HYPERLINK("https://www.bible.com/fr/audio-bible/152/HEB.7.S21","▶ Écouter miroir")</f>
        <v>▶ Écouter miroir</v>
      </c>
    </row>
    <row r="336" spans="1:15" ht="27.6">
      <c r="A336" s="9">
        <v>335</v>
      </c>
      <c r="B336" s="5" t="s">
        <v>1019</v>
      </c>
      <c r="C336" s="5">
        <v>48</v>
      </c>
      <c r="D336" s="4" t="s">
        <v>1020</v>
      </c>
      <c r="E336" s="4" t="s">
        <v>1021</v>
      </c>
      <c r="F336" s="5" t="s">
        <v>27</v>
      </c>
      <c r="G336" s="5" t="s">
        <v>840</v>
      </c>
      <c r="H336" s="5" t="s">
        <v>841</v>
      </c>
      <c r="I336" s="5" t="s">
        <v>18</v>
      </c>
      <c r="J336" s="4" t="s">
        <v>842</v>
      </c>
      <c r="K336" s="4" t="s">
        <v>23</v>
      </c>
      <c r="L336" s="10"/>
      <c r="M336" s="26" t="str">
        <f>HYPERLINK("https://www.bible.com/fr/audio-bible/152/DAN.1.S21","▶ Écouter AT")</f>
        <v>▶ Écouter AT</v>
      </c>
      <c r="N336" s="22" t="str">
        <f>HYPERLINK("https://www.bible.com/fr/audio-bible/152/ACT.2.S21","▶ Écouter NT")</f>
        <v>▶ Écouter NT</v>
      </c>
      <c r="O336" s="27" t="str">
        <f>HYPERLINK("https://www.bible.com/fr/audio-bible/152/REV.11.S21","▶ Écouter miroir")</f>
        <v>▶ Écouter miroir</v>
      </c>
    </row>
    <row r="337" spans="1:15" ht="27.6">
      <c r="A337" s="9">
        <v>336</v>
      </c>
      <c r="B337" s="5" t="s">
        <v>1022</v>
      </c>
      <c r="C337" s="5">
        <v>48</v>
      </c>
      <c r="D337" s="4" t="s">
        <v>1023</v>
      </c>
      <c r="E337" s="4" t="s">
        <v>1024</v>
      </c>
      <c r="F337" s="5" t="s">
        <v>27</v>
      </c>
      <c r="G337" s="5" t="s">
        <v>19</v>
      </c>
      <c r="H337" s="5" t="s">
        <v>841</v>
      </c>
      <c r="I337" s="5" t="s">
        <v>18</v>
      </c>
      <c r="J337" s="4" t="s">
        <v>842</v>
      </c>
      <c r="K337" s="4" t="s">
        <v>23</v>
      </c>
      <c r="L337" s="10"/>
      <c r="M337" s="26" t="str">
        <f>HYPERLINK("https://www.bible.com/fr/audio-bible/152/DAN.3.S21","▶ Écouter AT")</f>
        <v>▶ Écouter AT</v>
      </c>
      <c r="N337" s="22" t="str">
        <f>HYPERLINK("https://www.bible.com/fr/audio-bible/152/ACT.21.S21","▶ Écouter NT")</f>
        <v>▶ Écouter NT</v>
      </c>
      <c r="O337" s="27"/>
    </row>
    <row r="338" spans="1:15">
      <c r="A338" s="9">
        <v>337</v>
      </c>
      <c r="B338" s="5" t="s">
        <v>1025</v>
      </c>
      <c r="C338" s="5">
        <v>49</v>
      </c>
      <c r="D338" s="4" t="s">
        <v>1026</v>
      </c>
      <c r="E338" s="4" t="s">
        <v>1027</v>
      </c>
      <c r="F338" s="5" t="s">
        <v>27</v>
      </c>
      <c r="G338" s="5" t="s">
        <v>19</v>
      </c>
      <c r="H338" s="5" t="s">
        <v>211</v>
      </c>
      <c r="I338" s="5" t="s">
        <v>212</v>
      </c>
      <c r="J338" s="4" t="s">
        <v>213</v>
      </c>
      <c r="K338" s="4" t="s">
        <v>23</v>
      </c>
      <c r="L338" s="10"/>
      <c r="M338" s="26" t="str">
        <f>HYPERLINK("https://www.bible.com/fr/audio-bible/152/DAN.6.S21","▶ Écouter AT")</f>
        <v>▶ Écouter AT</v>
      </c>
      <c r="N338" s="22" t="str">
        <f>HYPERLINK("https://www.bible.com/fr/audio-bible/152/MAT.17.S21","▶ Écouter NT")</f>
        <v>▶ Écouter NT</v>
      </c>
      <c r="O338" s="27"/>
    </row>
    <row r="339" spans="1:15">
      <c r="A339" s="9">
        <v>338</v>
      </c>
      <c r="B339" s="5" t="s">
        <v>1028</v>
      </c>
      <c r="C339" s="5">
        <v>49</v>
      </c>
      <c r="D339" s="4" t="s">
        <v>1029</v>
      </c>
      <c r="E339" s="4" t="s">
        <v>1030</v>
      </c>
      <c r="F339" s="5" t="s">
        <v>27</v>
      </c>
      <c r="G339" s="5" t="s">
        <v>19</v>
      </c>
      <c r="H339" s="5" t="s">
        <v>211</v>
      </c>
      <c r="I339" s="5" t="s">
        <v>212</v>
      </c>
      <c r="J339" s="4" t="s">
        <v>213</v>
      </c>
      <c r="K339" s="4" t="s">
        <v>23</v>
      </c>
      <c r="L339" s="10"/>
      <c r="M339" s="26" t="str">
        <f>HYPERLINK("https://www.bible.com/fr/audio-bible/152/DAN.8.S21","▶ Écouter AT")</f>
        <v>▶ Écouter AT</v>
      </c>
      <c r="N339" s="22" t="str">
        <f>HYPERLINK("https://www.bible.com/fr/audio-bible/152/MRK.1.S21","▶ Écouter NT")</f>
        <v>▶ Écouter NT</v>
      </c>
      <c r="O339" s="27"/>
    </row>
    <row r="340" spans="1:15">
      <c r="A340" s="9">
        <v>339</v>
      </c>
      <c r="B340" s="5" t="s">
        <v>1031</v>
      </c>
      <c r="C340" s="5">
        <v>49</v>
      </c>
      <c r="D340" s="4" t="s">
        <v>1032</v>
      </c>
      <c r="E340" s="4" t="s">
        <v>1033</v>
      </c>
      <c r="F340" s="5" t="s">
        <v>27</v>
      </c>
      <c r="G340" s="5" t="s">
        <v>19</v>
      </c>
      <c r="H340" s="5" t="s">
        <v>211</v>
      </c>
      <c r="I340" s="5" t="s">
        <v>212</v>
      </c>
      <c r="J340" s="4" t="s">
        <v>213</v>
      </c>
      <c r="K340" s="4" t="s">
        <v>23</v>
      </c>
      <c r="L340" s="10"/>
      <c r="M340" s="26" t="str">
        <f>HYPERLINK("https://www.bible.com/fr/audio-bible/152/DAN.11.S21","▶ Écouter AT")</f>
        <v>▶ Écouter AT</v>
      </c>
      <c r="N340" s="22" t="str">
        <f>HYPERLINK("https://www.bible.com/fr/audio-bible/152/MRK.2.S21","▶ Écouter NT")</f>
        <v>▶ Écouter NT</v>
      </c>
      <c r="O340" s="27"/>
    </row>
    <row r="341" spans="1:15">
      <c r="A341" s="9">
        <v>340</v>
      </c>
      <c r="B341" s="5" t="s">
        <v>1034</v>
      </c>
      <c r="C341" s="5">
        <v>49</v>
      </c>
      <c r="D341" s="4" t="s">
        <v>1035</v>
      </c>
      <c r="E341" s="4" t="s">
        <v>1036</v>
      </c>
      <c r="F341" s="5" t="s">
        <v>27</v>
      </c>
      <c r="G341" s="5" t="s">
        <v>19</v>
      </c>
      <c r="H341" s="5" t="s">
        <v>34</v>
      </c>
      <c r="I341" s="5" t="s">
        <v>18</v>
      </c>
      <c r="J341" s="4" t="s">
        <v>35</v>
      </c>
      <c r="K341" s="4" t="s">
        <v>23</v>
      </c>
      <c r="L341" s="10"/>
      <c r="M341" s="26" t="str">
        <f>HYPERLINK("https://www.bible.com/fr/audio-bible/152/HOS.1.S21","▶ Écouter AT")</f>
        <v>▶ Écouter AT</v>
      </c>
      <c r="N341" s="22" t="str">
        <f>HYPERLINK("https://www.bible.com/fr/audio-bible/152/JHN.15.S21","▶ Écouter NT")</f>
        <v>▶ Écouter NT</v>
      </c>
      <c r="O341" s="27"/>
    </row>
    <row r="342" spans="1:15">
      <c r="A342" s="9">
        <v>341</v>
      </c>
      <c r="B342" s="5" t="s">
        <v>1037</v>
      </c>
      <c r="C342" s="5">
        <v>49</v>
      </c>
      <c r="D342" s="4" t="s">
        <v>1038</v>
      </c>
      <c r="E342" s="4" t="s">
        <v>1039</v>
      </c>
      <c r="F342" s="5" t="s">
        <v>27</v>
      </c>
      <c r="G342" s="5" t="s">
        <v>19</v>
      </c>
      <c r="H342" s="5" t="s">
        <v>34</v>
      </c>
      <c r="I342" s="5" t="s">
        <v>18</v>
      </c>
      <c r="J342" s="4" t="s">
        <v>35</v>
      </c>
      <c r="K342" s="4" t="s">
        <v>23</v>
      </c>
      <c r="L342" s="10"/>
      <c r="M342" s="26" t="str">
        <f>HYPERLINK("https://www.bible.com/fr/audio-bible/152/HOS.4.S21","▶ Écouter AT")</f>
        <v>▶ Écouter AT</v>
      </c>
      <c r="N342" s="22" t="str">
        <f>HYPERLINK("https://www.bible.com/fr/audio-bible/152/ROM.11.S21","▶ Écouter NT")</f>
        <v>▶ Écouter NT</v>
      </c>
      <c r="O342" s="27"/>
    </row>
    <row r="343" spans="1:15">
      <c r="A343" s="9">
        <v>342</v>
      </c>
      <c r="B343" s="5" t="s">
        <v>1040</v>
      </c>
      <c r="C343" s="5">
        <v>49</v>
      </c>
      <c r="D343" s="4" t="s">
        <v>1041</v>
      </c>
      <c r="E343" s="4" t="s">
        <v>1042</v>
      </c>
      <c r="F343" s="5" t="s">
        <v>27</v>
      </c>
      <c r="G343" s="5" t="s">
        <v>33</v>
      </c>
      <c r="H343" s="5" t="s">
        <v>34</v>
      </c>
      <c r="I343" s="5" t="s">
        <v>18</v>
      </c>
      <c r="J343" s="4" t="s">
        <v>35</v>
      </c>
      <c r="K343" s="4" t="s">
        <v>23</v>
      </c>
      <c r="L343" s="10"/>
      <c r="M343" s="26" t="str">
        <f>HYPERLINK("https://www.bible.com/fr/audio-bible/152/HOS.6.S21","▶ Écouter AT")</f>
        <v>▶ Écouter AT</v>
      </c>
      <c r="N343" s="22" t="str">
        <f>HYPERLINK("https://www.bible.com/fr/audio-bible/152/TIT.3.S21","▶ Écouter NT")</f>
        <v>▶ Écouter NT</v>
      </c>
      <c r="O343" s="27" t="str">
        <f>HYPERLINK("https://www.bible.com/fr/audio-bible/152/HEB.8.S21","▶ Écouter miroir")</f>
        <v>▶ Écouter miroir</v>
      </c>
    </row>
    <row r="344" spans="1:15">
      <c r="A344" s="9">
        <v>343</v>
      </c>
      <c r="B344" s="5" t="s">
        <v>1043</v>
      </c>
      <c r="C344" s="5">
        <v>49</v>
      </c>
      <c r="D344" s="4" t="s">
        <v>1044</v>
      </c>
      <c r="E344" s="4" t="s">
        <v>1045</v>
      </c>
      <c r="F344" s="5" t="s">
        <v>27</v>
      </c>
      <c r="G344" s="5" t="s">
        <v>33</v>
      </c>
      <c r="H344" s="5" t="s">
        <v>34</v>
      </c>
      <c r="I344" s="5" t="s">
        <v>18</v>
      </c>
      <c r="J344" s="4" t="s">
        <v>35</v>
      </c>
      <c r="K344" s="4" t="s">
        <v>23</v>
      </c>
      <c r="L344" s="10"/>
      <c r="M344" s="26" t="str">
        <f>HYPERLINK("https://www.bible.com/fr/audio-bible/152/HOS.9.S21","▶ Écouter AT")</f>
        <v>▶ Écouter AT</v>
      </c>
      <c r="N344" s="22" t="str">
        <f>HYPERLINK("https://www.bible.com/fr/audio-bible/152/2CO.9.S21","▶ Écouter NT")</f>
        <v>▶ Écouter NT</v>
      </c>
      <c r="O344" s="27" t="str">
        <f>HYPERLINK("https://www.bible.com/fr/audio-bible/152/HEB.8.S21","▶ Écouter miroir")</f>
        <v>▶ Écouter miroir</v>
      </c>
    </row>
    <row r="345" spans="1:15">
      <c r="A345" s="9">
        <v>344</v>
      </c>
      <c r="B345" s="5" t="s">
        <v>1046</v>
      </c>
      <c r="C345" s="5">
        <v>50</v>
      </c>
      <c r="D345" s="4" t="s">
        <v>1047</v>
      </c>
      <c r="E345" s="4" t="s">
        <v>33</v>
      </c>
      <c r="F345" s="5" t="s">
        <v>18</v>
      </c>
      <c r="G345" s="5" t="s">
        <v>19</v>
      </c>
      <c r="H345" s="5" t="s">
        <v>34</v>
      </c>
      <c r="I345" s="5" t="s">
        <v>18</v>
      </c>
      <c r="J345" s="4" t="s">
        <v>35</v>
      </c>
      <c r="K345" s="4" t="s">
        <v>23</v>
      </c>
      <c r="L345" s="10"/>
      <c r="M345" s="26" t="str">
        <f>HYPERLINK("https://www.bible.com/fr/audio-bible/152/HOS.12.S21","▶ Écouter AT")</f>
        <v>▶ Écouter AT</v>
      </c>
      <c r="N345" s="22" t="str">
        <f>HYPERLINK("https://www.bible.com/fr/audio-bible/152/HEB.8.S21","▶ Écouter NT")</f>
        <v>▶ Écouter NT</v>
      </c>
      <c r="O345" s="27"/>
    </row>
    <row r="346" spans="1:15" ht="27.6">
      <c r="A346" s="9">
        <v>345</v>
      </c>
      <c r="B346" s="5" t="s">
        <v>1048</v>
      </c>
      <c r="C346" s="5">
        <v>50</v>
      </c>
      <c r="D346" s="4" t="s">
        <v>1049</v>
      </c>
      <c r="E346" s="4" t="s">
        <v>1050</v>
      </c>
      <c r="F346" s="5" t="s">
        <v>27</v>
      </c>
      <c r="G346" s="5" t="s">
        <v>892</v>
      </c>
      <c r="H346" s="5" t="s">
        <v>893</v>
      </c>
      <c r="I346" s="5" t="s">
        <v>212</v>
      </c>
      <c r="J346" s="4" t="s">
        <v>894</v>
      </c>
      <c r="K346" s="4" t="s">
        <v>23</v>
      </c>
      <c r="L346" s="10"/>
      <c r="M346" s="26" t="str">
        <f>HYPERLINK("https://www.bible.com/fr/audio-bible/152/HOS.14.S21","▶ Écouter AT")</f>
        <v>▶ Écouter AT</v>
      </c>
      <c r="N346" s="22" t="str">
        <f>HYPERLINK("https://www.bible.com/fr/audio-bible/152/JHN.16.S21","▶ Écouter NT")</f>
        <v>▶ Écouter NT</v>
      </c>
      <c r="O346" s="27" t="str">
        <f>HYPERLINK("https://www.bible.com/fr/audio-bible/152/ACT.2.S21","▶ Écouter miroir")</f>
        <v>▶ Écouter miroir</v>
      </c>
    </row>
    <row r="347" spans="1:15" ht="27.6">
      <c r="A347" s="9">
        <v>346</v>
      </c>
      <c r="B347" s="5" t="s">
        <v>1051</v>
      </c>
      <c r="C347" s="5">
        <v>50</v>
      </c>
      <c r="D347" s="4" t="s">
        <v>1052</v>
      </c>
      <c r="E347" s="4" t="s">
        <v>1053</v>
      </c>
      <c r="F347" s="5" t="s">
        <v>27</v>
      </c>
      <c r="G347" s="5" t="s">
        <v>892</v>
      </c>
      <c r="H347" s="5" t="s">
        <v>893</v>
      </c>
      <c r="I347" s="5" t="s">
        <v>212</v>
      </c>
      <c r="J347" s="4" t="s">
        <v>894</v>
      </c>
      <c r="K347" s="4" t="s">
        <v>23</v>
      </c>
      <c r="L347" s="10"/>
      <c r="M347" s="26" t="str">
        <f>HYPERLINK("https://www.bible.com/fr/audio-bible/152/JOL.3.S21","▶ Écouter AT")</f>
        <v>▶ Écouter AT</v>
      </c>
      <c r="N347" s="22" t="str">
        <f>HYPERLINK("https://www.bible.com/fr/audio-bible/152/JHN.17.S21","▶ Écouter NT")</f>
        <v>▶ Écouter NT</v>
      </c>
      <c r="O347" s="27" t="str">
        <f>HYPERLINK("https://www.bible.com/fr/audio-bible/152/ACT.2.S21","▶ Écouter miroir")</f>
        <v>▶ Écouter miroir</v>
      </c>
    </row>
    <row r="348" spans="1:15">
      <c r="A348" s="9">
        <v>347</v>
      </c>
      <c r="B348" s="5" t="s">
        <v>1054</v>
      </c>
      <c r="C348" s="5">
        <v>50</v>
      </c>
      <c r="D348" s="4" t="s">
        <v>1055</v>
      </c>
      <c r="E348" s="4" t="s">
        <v>1056</v>
      </c>
      <c r="F348" s="5" t="s">
        <v>27</v>
      </c>
      <c r="G348" s="5" t="s">
        <v>267</v>
      </c>
      <c r="H348" s="5" t="s">
        <v>226</v>
      </c>
      <c r="I348" s="5" t="s">
        <v>89</v>
      </c>
      <c r="J348" s="4" t="s">
        <v>227</v>
      </c>
      <c r="K348" s="4" t="s">
        <v>23</v>
      </c>
      <c r="L348" s="10"/>
      <c r="M348" s="26" t="str">
        <f>HYPERLINK("https://www.bible.com/fr/audio-bible/152/AMO.2.S21","▶ Écouter AT")</f>
        <v>▶ Écouter AT</v>
      </c>
      <c r="N348" s="22" t="str">
        <f>HYPERLINK("https://www.bible.com/fr/audio-bible/152/REV.8.S21","▶ Écouter NT")</f>
        <v>▶ Écouter NT</v>
      </c>
      <c r="O348" s="27" t="str">
        <f>HYPERLINK("https://www.bible.com/fr/audio-bible/152/JAS.2.S21","▶ Écouter miroir")</f>
        <v>▶ Écouter miroir</v>
      </c>
    </row>
    <row r="349" spans="1:15">
      <c r="A349" s="9">
        <v>348</v>
      </c>
      <c r="B349" s="5" t="s">
        <v>1057</v>
      </c>
      <c r="C349" s="5">
        <v>50</v>
      </c>
      <c r="D349" s="4" t="s">
        <v>1058</v>
      </c>
      <c r="E349" s="4" t="s">
        <v>1059</v>
      </c>
      <c r="F349" s="5" t="s">
        <v>27</v>
      </c>
      <c r="G349" s="5" t="s">
        <v>267</v>
      </c>
      <c r="H349" s="5" t="s">
        <v>226</v>
      </c>
      <c r="I349" s="5" t="s">
        <v>89</v>
      </c>
      <c r="J349" s="4" t="s">
        <v>227</v>
      </c>
      <c r="K349" s="4" t="s">
        <v>23</v>
      </c>
      <c r="L349" s="10"/>
      <c r="M349" s="26" t="str">
        <f>HYPERLINK("https://www.bible.com/fr/audio-bible/152/AMO.5.S21","▶ Écouter AT")</f>
        <v>▶ Écouter AT</v>
      </c>
      <c r="N349" s="22" t="str">
        <f>HYPERLINK("https://www.bible.com/fr/audio-bible/152/REV.9.S21","▶ Écouter NT")</f>
        <v>▶ Écouter NT</v>
      </c>
      <c r="O349" s="27" t="str">
        <f>HYPERLINK("https://www.bible.com/fr/audio-bible/152/JAS.2.S21","▶ Écouter miroir")</f>
        <v>▶ Écouter miroir</v>
      </c>
    </row>
    <row r="350" spans="1:15">
      <c r="A350" s="9">
        <v>349</v>
      </c>
      <c r="B350" s="5" t="s">
        <v>1060</v>
      </c>
      <c r="C350" s="5">
        <v>50</v>
      </c>
      <c r="D350" s="4" t="s">
        <v>1061</v>
      </c>
      <c r="E350" s="4" t="s">
        <v>1062</v>
      </c>
      <c r="F350" s="5" t="s">
        <v>27</v>
      </c>
      <c r="G350" s="5" t="s">
        <v>253</v>
      </c>
      <c r="H350" s="5" t="s">
        <v>254</v>
      </c>
      <c r="I350" s="5" t="s">
        <v>57</v>
      </c>
      <c r="J350" s="4" t="s">
        <v>255</v>
      </c>
      <c r="K350" s="4" t="s">
        <v>23</v>
      </c>
      <c r="L350" s="10"/>
      <c r="M350" s="26" t="str">
        <f>HYPERLINK("https://www.bible.com/fr/audio-bible/152/AMO.7.S21","▶ Écouter AT")</f>
        <v>▶ Écouter AT</v>
      </c>
      <c r="N350" s="22" t="str">
        <f>HYPERLINK("https://www.bible.com/fr/audio-bible/152/REV.10.S21","▶ Écouter NT")</f>
        <v>▶ Écouter NT</v>
      </c>
      <c r="O350" s="27" t="str">
        <f>HYPERLINK("https://www.bible.com/fr/audio-bible/152/LUK.1.S21","▶ Écouter miroir")</f>
        <v>▶ Écouter miroir</v>
      </c>
    </row>
    <row r="351" spans="1:15" ht="27.6">
      <c r="A351" s="9">
        <v>350</v>
      </c>
      <c r="B351" s="5" t="s">
        <v>1063</v>
      </c>
      <c r="C351" s="5">
        <v>50</v>
      </c>
      <c r="D351" s="4" t="s">
        <v>1064</v>
      </c>
      <c r="E351" s="4" t="s">
        <v>1065</v>
      </c>
      <c r="F351" s="5" t="s">
        <v>27</v>
      </c>
      <c r="G351" s="5" t="s">
        <v>19</v>
      </c>
      <c r="H351" s="5" t="s">
        <v>855</v>
      </c>
      <c r="I351" s="5" t="s">
        <v>212</v>
      </c>
      <c r="J351" s="4" t="s">
        <v>856</v>
      </c>
      <c r="K351" s="4" t="s">
        <v>23</v>
      </c>
      <c r="L351" s="10"/>
      <c r="M351" s="26" t="str">
        <f>HYPERLINK("https://www.bible.com/fr/audio-bible/152/OBA.1.S21","▶ Écouter AT")</f>
        <v>▶ Écouter AT</v>
      </c>
      <c r="N351" s="22" t="str">
        <f>HYPERLINK("https://www.bible.com/fr/audio-bible/152/MAT.28.S21","▶ Écouter NT")</f>
        <v>▶ Écouter NT</v>
      </c>
      <c r="O351" s="27"/>
    </row>
    <row r="352" spans="1:15" ht="27.6">
      <c r="A352" s="9">
        <v>351</v>
      </c>
      <c r="B352" s="5" t="s">
        <v>1066</v>
      </c>
      <c r="C352" s="5">
        <v>51</v>
      </c>
      <c r="D352" s="4" t="s">
        <v>1067</v>
      </c>
      <c r="E352" s="4" t="s">
        <v>1068</v>
      </c>
      <c r="F352" s="5" t="s">
        <v>27</v>
      </c>
      <c r="G352" s="5" t="s">
        <v>19</v>
      </c>
      <c r="H352" s="5" t="s">
        <v>855</v>
      </c>
      <c r="I352" s="5" t="s">
        <v>212</v>
      </c>
      <c r="J352" s="4" t="s">
        <v>856</v>
      </c>
      <c r="K352" s="4" t="s">
        <v>23</v>
      </c>
      <c r="L352" s="10"/>
      <c r="M352" s="26" t="str">
        <f>HYPERLINK("https://www.bible.com/fr/audio-bible/152/JON.2.S21","▶ Écouter AT")</f>
        <v>▶ Écouter AT</v>
      </c>
      <c r="N352" s="22" t="str">
        <f>HYPERLINK("https://www.bible.com/fr/audio-bible/152/LUK.24.S21","▶ Écouter NT")</f>
        <v>▶ Écouter NT</v>
      </c>
      <c r="O352" s="27"/>
    </row>
    <row r="353" spans="1:15">
      <c r="A353" s="9">
        <v>352</v>
      </c>
      <c r="B353" s="5" t="s">
        <v>1069</v>
      </c>
      <c r="C353" s="5">
        <v>51</v>
      </c>
      <c r="D353" s="4" t="s">
        <v>1070</v>
      </c>
      <c r="E353" s="4" t="s">
        <v>1071</v>
      </c>
      <c r="F353" s="5" t="s">
        <v>27</v>
      </c>
      <c r="G353" s="5" t="s">
        <v>267</v>
      </c>
      <c r="H353" s="5" t="s">
        <v>226</v>
      </c>
      <c r="I353" s="5" t="s">
        <v>89</v>
      </c>
      <c r="J353" s="4" t="s">
        <v>227</v>
      </c>
      <c r="K353" s="4" t="s">
        <v>23</v>
      </c>
      <c r="L353" s="10"/>
      <c r="M353" s="26" t="str">
        <f>HYPERLINK("https://www.bible.com/fr/audio-bible/152/MIC.1.S21","▶ Écouter AT")</f>
        <v>▶ Écouter AT</v>
      </c>
      <c r="N353" s="22" t="str">
        <f>HYPERLINK("https://www.bible.com/fr/audio-bible/152/REV.11.S21","▶ Écouter NT")</f>
        <v>▶ Écouter NT</v>
      </c>
      <c r="O353" s="27" t="str">
        <f>HYPERLINK("https://www.bible.com/fr/audio-bible/152/JAS.2.S21","▶ Écouter miroir")</f>
        <v>▶ Écouter miroir</v>
      </c>
    </row>
    <row r="354" spans="1:15">
      <c r="A354" s="9">
        <v>353</v>
      </c>
      <c r="B354" s="5" t="s">
        <v>1072</v>
      </c>
      <c r="C354" s="5">
        <v>51</v>
      </c>
      <c r="D354" s="4" t="s">
        <v>1073</v>
      </c>
      <c r="E354" s="4" t="s">
        <v>1074</v>
      </c>
      <c r="F354" s="5" t="s">
        <v>27</v>
      </c>
      <c r="G354" s="5" t="s">
        <v>19</v>
      </c>
      <c r="H354" s="5" t="s">
        <v>211</v>
      </c>
      <c r="I354" s="5" t="s">
        <v>212</v>
      </c>
      <c r="J354" s="4" t="s">
        <v>213</v>
      </c>
      <c r="K354" s="4" t="s">
        <v>23</v>
      </c>
      <c r="L354" s="10"/>
      <c r="M354" s="26" t="str">
        <f>HYPERLINK("https://www.bible.com/fr/audio-bible/152/MIC.3.S21","▶ Écouter AT")</f>
        <v>▶ Écouter AT</v>
      </c>
      <c r="N354" s="22" t="str">
        <f>HYPERLINK("https://www.bible.com/fr/audio-bible/152/MRK.3.S21","▶ Écouter NT")</f>
        <v>▶ Écouter NT</v>
      </c>
      <c r="O354" s="27"/>
    </row>
    <row r="355" spans="1:15">
      <c r="A355" s="9">
        <v>354</v>
      </c>
      <c r="B355" s="5" t="s">
        <v>1075</v>
      </c>
      <c r="C355" s="5">
        <v>51</v>
      </c>
      <c r="D355" s="4" t="s">
        <v>1076</v>
      </c>
      <c r="E355" s="4" t="s">
        <v>1077</v>
      </c>
      <c r="F355" s="5" t="s">
        <v>27</v>
      </c>
      <c r="G355" s="5" t="s">
        <v>19</v>
      </c>
      <c r="H355" s="5" t="s">
        <v>226</v>
      </c>
      <c r="I355" s="5" t="s">
        <v>89</v>
      </c>
      <c r="J355" s="4" t="s">
        <v>227</v>
      </c>
      <c r="K355" s="4" t="s">
        <v>23</v>
      </c>
      <c r="L355" s="10"/>
      <c r="M355" s="26" t="str">
        <f>HYPERLINK("https://www.bible.com/fr/audio-bible/152/MIC.6.S21","▶ Écouter AT")</f>
        <v>▶ Écouter AT</v>
      </c>
      <c r="N355" s="22" t="str">
        <f>HYPERLINK("https://www.bible.com/fr/audio-bible/152/ROM.3.S21","▶ Écouter NT")</f>
        <v>▶ Écouter NT</v>
      </c>
      <c r="O355" s="27"/>
    </row>
    <row r="356" spans="1:15">
      <c r="A356" s="9">
        <v>355</v>
      </c>
      <c r="B356" s="5" t="s">
        <v>1078</v>
      </c>
      <c r="C356" s="5">
        <v>51</v>
      </c>
      <c r="D356" s="4" t="s">
        <v>1079</v>
      </c>
      <c r="E356" s="4" t="s">
        <v>1080</v>
      </c>
      <c r="F356" s="5" t="s">
        <v>27</v>
      </c>
      <c r="G356" s="5" t="s">
        <v>19</v>
      </c>
      <c r="H356" s="5" t="s">
        <v>226</v>
      </c>
      <c r="I356" s="5" t="s">
        <v>89</v>
      </c>
      <c r="J356" s="4" t="s">
        <v>227</v>
      </c>
      <c r="K356" s="4" t="s">
        <v>23</v>
      </c>
      <c r="L356" s="10"/>
      <c r="M356" s="26" t="str">
        <f>HYPERLINK("https://www.bible.com/fr/audio-bible/152/NAM.2.S21","▶ Écouter AT")</f>
        <v>▶ Écouter AT</v>
      </c>
      <c r="N356" s="22" t="str">
        <f>HYPERLINK("https://www.bible.com/fr/audio-bible/152/REV.15.S21","▶ Écouter NT")</f>
        <v>▶ Écouter NT</v>
      </c>
      <c r="O356" s="27"/>
    </row>
    <row r="357" spans="1:15">
      <c r="A357" s="9">
        <v>356</v>
      </c>
      <c r="B357" s="5" t="s">
        <v>1081</v>
      </c>
      <c r="C357" s="5">
        <v>51</v>
      </c>
      <c r="D357" s="4" t="s">
        <v>1082</v>
      </c>
      <c r="E357" s="4" t="s">
        <v>1083</v>
      </c>
      <c r="F357" s="5" t="s">
        <v>27</v>
      </c>
      <c r="G357" s="5" t="s">
        <v>19</v>
      </c>
      <c r="H357" s="5" t="s">
        <v>226</v>
      </c>
      <c r="I357" s="5" t="s">
        <v>89</v>
      </c>
      <c r="J357" s="4" t="s">
        <v>227</v>
      </c>
      <c r="K357" s="4" t="s">
        <v>23</v>
      </c>
      <c r="L357" s="10"/>
      <c r="M357" s="26" t="str">
        <f>HYPERLINK("https://www.bible.com/fr/audio-bible/152/HAB.1.S21","▶ Écouter AT")</f>
        <v>▶ Écouter AT</v>
      </c>
      <c r="N357" s="22" t="str">
        <f>HYPERLINK("https://www.bible.com/fr/audio-bible/152/JAS.5.S21","▶ Écouter NT")</f>
        <v>▶ Écouter NT</v>
      </c>
      <c r="O357" s="27"/>
    </row>
    <row r="358" spans="1:15" ht="27.6">
      <c r="A358" s="9">
        <v>357</v>
      </c>
      <c r="B358" s="5" t="s">
        <v>1084</v>
      </c>
      <c r="C358" s="5">
        <v>51</v>
      </c>
      <c r="D358" s="4" t="s">
        <v>1085</v>
      </c>
      <c r="E358" s="4" t="s">
        <v>1086</v>
      </c>
      <c r="F358" s="5" t="s">
        <v>27</v>
      </c>
      <c r="G358" s="5" t="s">
        <v>19</v>
      </c>
      <c r="H358" s="5" t="s">
        <v>524</v>
      </c>
      <c r="I358" s="5" t="s">
        <v>40</v>
      </c>
      <c r="J358" s="4" t="s">
        <v>525</v>
      </c>
      <c r="K358" s="4" t="s">
        <v>23</v>
      </c>
      <c r="L358" s="10"/>
      <c r="M358" s="26" t="str">
        <f>HYPERLINK("https://www.bible.com/fr/audio-bible/152/ZEP.1.S21","▶ Écouter AT")</f>
        <v>▶ Écouter AT</v>
      </c>
      <c r="N358" s="22" t="str">
        <f>HYPERLINK("https://www.bible.com/fr/audio-bible/152/LUK.15.S21","▶ Écouter NT")</f>
        <v>▶ Écouter NT</v>
      </c>
      <c r="O358" s="27"/>
    </row>
    <row r="359" spans="1:15" ht="27.6">
      <c r="A359" s="9">
        <v>358</v>
      </c>
      <c r="B359" s="5" t="s">
        <v>1087</v>
      </c>
      <c r="C359" s="5">
        <v>52</v>
      </c>
      <c r="D359" s="4" t="s">
        <v>1088</v>
      </c>
      <c r="E359" s="4" t="s">
        <v>1089</v>
      </c>
      <c r="F359" s="5" t="s">
        <v>27</v>
      </c>
      <c r="G359" s="5" t="s">
        <v>19</v>
      </c>
      <c r="H359" s="5" t="s">
        <v>414</v>
      </c>
      <c r="I359" s="5" t="s">
        <v>57</v>
      </c>
      <c r="J359" s="4" t="s">
        <v>415</v>
      </c>
      <c r="K359" s="4" t="s">
        <v>23</v>
      </c>
      <c r="L359" s="10"/>
      <c r="M359" s="26" t="str">
        <f>HYPERLINK("https://www.bible.com/fr/audio-bible/152/ZEP.3.S21","▶ Écouter AT")</f>
        <v>▶ Écouter AT</v>
      </c>
      <c r="N359" s="22" t="str">
        <f>HYPERLINK("https://www.bible.com/fr/audio-bible/152/MAT.22.S21","▶ Écouter NT")</f>
        <v>▶ Écouter NT</v>
      </c>
      <c r="O359" s="27"/>
    </row>
    <row r="360" spans="1:15">
      <c r="A360" s="9">
        <v>359</v>
      </c>
      <c r="B360" s="5" t="s">
        <v>1090</v>
      </c>
      <c r="C360" s="5">
        <v>52</v>
      </c>
      <c r="D360" s="4" t="s">
        <v>1091</v>
      </c>
      <c r="E360" s="4" t="s">
        <v>1092</v>
      </c>
      <c r="F360" s="5" t="s">
        <v>27</v>
      </c>
      <c r="G360" s="5" t="s">
        <v>19</v>
      </c>
      <c r="H360" s="5" t="s">
        <v>211</v>
      </c>
      <c r="I360" s="5" t="s">
        <v>212</v>
      </c>
      <c r="J360" s="4" t="s">
        <v>213</v>
      </c>
      <c r="K360" s="4" t="s">
        <v>23</v>
      </c>
      <c r="L360" s="10"/>
      <c r="M360" s="26" t="str">
        <f>HYPERLINK("https://www.bible.com/fr/audio-bible/152/ZEC.1.S21","▶ Écouter AT")</f>
        <v>▶ Écouter AT</v>
      </c>
      <c r="N360" s="22" t="str">
        <f>HYPERLINK("https://www.bible.com/fr/audio-bible/152/HEB.7.S21","▶ Écouter NT")</f>
        <v>▶ Écouter NT</v>
      </c>
      <c r="O360" s="27"/>
    </row>
    <row r="361" spans="1:15">
      <c r="A361" s="9">
        <v>360</v>
      </c>
      <c r="B361" s="5" t="s">
        <v>1093</v>
      </c>
      <c r="C361" s="5">
        <v>52</v>
      </c>
      <c r="D361" s="4" t="s">
        <v>1094</v>
      </c>
      <c r="E361" s="4" t="s">
        <v>1095</v>
      </c>
      <c r="F361" s="5" t="s">
        <v>27</v>
      </c>
      <c r="G361" s="5" t="s">
        <v>130</v>
      </c>
      <c r="H361" s="5" t="s">
        <v>131</v>
      </c>
      <c r="I361" s="5" t="s">
        <v>57</v>
      </c>
      <c r="J361" s="4" t="s">
        <v>132</v>
      </c>
      <c r="K361" s="4" t="s">
        <v>23</v>
      </c>
      <c r="L361" s="10"/>
      <c r="M361" s="26" t="str">
        <f>HYPERLINK("https://www.bible.com/fr/audio-bible/152/ZEC.3.S21","▶ Écouter AT")</f>
        <v>▶ Écouter AT</v>
      </c>
      <c r="N361" s="22" t="str">
        <f>HYPERLINK("https://www.bible.com/fr/audio-bible/152/REV.2.S21","▶ Écouter NT")</f>
        <v>▶ Écouter NT</v>
      </c>
      <c r="O361" s="27" t="str">
        <f>HYPERLINK("https://www.bible.com/fr/audio-bible/152/HEB.7.S21","▶ Écouter miroir")</f>
        <v>▶ Écouter miroir</v>
      </c>
    </row>
    <row r="362" spans="1:15" ht="27.6">
      <c r="A362" s="9">
        <v>361</v>
      </c>
      <c r="B362" s="5" t="s">
        <v>1096</v>
      </c>
      <c r="C362" s="5">
        <v>52</v>
      </c>
      <c r="D362" s="4" t="s">
        <v>1097</v>
      </c>
      <c r="E362" s="4" t="s">
        <v>1098</v>
      </c>
      <c r="F362" s="5" t="s">
        <v>27</v>
      </c>
      <c r="G362" s="5" t="s">
        <v>19</v>
      </c>
      <c r="H362" s="5" t="s">
        <v>414</v>
      </c>
      <c r="I362" s="5" t="s">
        <v>57</v>
      </c>
      <c r="J362" s="4" t="s">
        <v>415</v>
      </c>
      <c r="K362" s="4" t="s">
        <v>23</v>
      </c>
      <c r="L362" s="10"/>
      <c r="M362" s="26" t="str">
        <f>HYPERLINK("https://www.bible.com/fr/audio-bible/152/ZEC.6.S21","▶ Écouter AT")</f>
        <v>▶ Écouter AT</v>
      </c>
      <c r="N362" s="22" t="str">
        <f>HYPERLINK("https://www.bible.com/fr/audio-bible/152/LUK.21.S21","▶ Écouter NT")</f>
        <v>▶ Écouter NT</v>
      </c>
      <c r="O362" s="27"/>
    </row>
    <row r="363" spans="1:15">
      <c r="A363" s="9">
        <v>362</v>
      </c>
      <c r="B363" s="5" t="s">
        <v>1099</v>
      </c>
      <c r="C363" s="5">
        <v>52</v>
      </c>
      <c r="D363" s="4" t="s">
        <v>1100</v>
      </c>
      <c r="E363" s="4" t="s">
        <v>1101</v>
      </c>
      <c r="F363" s="5" t="s">
        <v>27</v>
      </c>
      <c r="G363" s="5" t="s">
        <v>1001</v>
      </c>
      <c r="H363" s="5" t="s">
        <v>1002</v>
      </c>
      <c r="I363" s="5" t="s">
        <v>57</v>
      </c>
      <c r="J363" s="4" t="s">
        <v>1003</v>
      </c>
      <c r="K363" s="4" t="s">
        <v>23</v>
      </c>
      <c r="L363" s="10"/>
      <c r="M363" s="26" t="str">
        <f>HYPERLINK("https://www.bible.com/fr/audio-bible/152/ZEC.8.S21","▶ Écouter AT")</f>
        <v>▶ Écouter AT</v>
      </c>
      <c r="N363" s="22" t="str">
        <f>HYPERLINK("https://www.bible.com/fr/audio-bible/152/JHN.10.S21","▶ Écouter NT")</f>
        <v>▶ Écouter NT</v>
      </c>
      <c r="O363" s="27" t="str">
        <f>HYPERLINK("https://www.bible.com/fr/audio-bible/152/JHN.10.S21","▶ Écouter miroir")</f>
        <v>▶ Écouter miroir</v>
      </c>
    </row>
    <row r="364" spans="1:15">
      <c r="A364" s="9">
        <v>363</v>
      </c>
      <c r="B364" s="5" t="s">
        <v>1102</v>
      </c>
      <c r="C364" s="5">
        <v>52</v>
      </c>
      <c r="D364" s="4" t="s">
        <v>1103</v>
      </c>
      <c r="E364" s="4" t="s">
        <v>1104</v>
      </c>
      <c r="F364" s="5" t="s">
        <v>27</v>
      </c>
      <c r="G364" s="5" t="s">
        <v>1001</v>
      </c>
      <c r="H364" s="5" t="s">
        <v>1002</v>
      </c>
      <c r="I364" s="5" t="s">
        <v>57</v>
      </c>
      <c r="J364" s="4" t="s">
        <v>1003</v>
      </c>
      <c r="K364" s="4" t="s">
        <v>23</v>
      </c>
      <c r="L364" s="10"/>
      <c r="M364" s="26" t="str">
        <f>HYPERLINK("https://www.bible.com/fr/audio-bible/152/ZEC.11.S21","▶ Écouter AT")</f>
        <v>▶ Écouter AT</v>
      </c>
      <c r="N364" s="22" t="str">
        <f>HYPERLINK("https://www.bible.com/fr/audio-bible/152/JHN.21.S21","▶ Écouter NT")</f>
        <v>▶ Écouter NT</v>
      </c>
      <c r="O364" s="27" t="str">
        <f>HYPERLINK("https://www.bible.com/fr/audio-bible/152/JHN.10.S21","▶ Écouter miroir")</f>
        <v>▶ Écouter miroir</v>
      </c>
    </row>
    <row r="365" spans="1:15">
      <c r="A365" s="9">
        <v>364</v>
      </c>
      <c r="B365" s="5" t="s">
        <v>1105</v>
      </c>
      <c r="C365" s="5">
        <v>52</v>
      </c>
      <c r="D365" s="4" t="s">
        <v>1106</v>
      </c>
      <c r="E365" s="4" t="s">
        <v>1107</v>
      </c>
      <c r="F365" s="5" t="s">
        <v>27</v>
      </c>
      <c r="G365" s="5" t="s">
        <v>757</v>
      </c>
      <c r="H365" s="5" t="s">
        <v>752</v>
      </c>
      <c r="I365" s="5" t="s">
        <v>212</v>
      </c>
      <c r="J365" s="4" t="s">
        <v>753</v>
      </c>
      <c r="K365" s="4" t="s">
        <v>23</v>
      </c>
      <c r="L365" s="10"/>
      <c r="M365" s="26" t="str">
        <f>HYPERLINK("https://www.bible.com/fr/audio-bible/152/ZEC.13.S21","▶ Écouter AT")</f>
        <v>▶ Écouter AT</v>
      </c>
      <c r="N365" s="22" t="str">
        <f>HYPERLINK("https://www.bible.com/fr/audio-bible/152/ACT.19.S21","▶ Écouter NT")</f>
        <v>▶ Écouter NT</v>
      </c>
      <c r="O365" s="27" t="str">
        <f>HYPERLINK("https://www.bible.com/fr/audio-bible/152/REV.19.S21","▶ Écouter miroir")</f>
        <v>▶ Écouter miroir</v>
      </c>
    </row>
    <row r="366" spans="1:15">
      <c r="A366" s="11">
        <v>365</v>
      </c>
      <c r="B366" s="12" t="s">
        <v>1108</v>
      </c>
      <c r="C366" s="12">
        <v>53</v>
      </c>
      <c r="D366" s="13" t="s">
        <v>1109</v>
      </c>
      <c r="E366" s="13" t="s">
        <v>1110</v>
      </c>
      <c r="F366" s="12" t="s">
        <v>27</v>
      </c>
      <c r="G366" s="12" t="s">
        <v>19</v>
      </c>
      <c r="H366" s="12" t="s">
        <v>211</v>
      </c>
      <c r="I366" s="12" t="s">
        <v>212</v>
      </c>
      <c r="J366" s="13" t="s">
        <v>213</v>
      </c>
      <c r="K366" s="13" t="s">
        <v>23</v>
      </c>
      <c r="L366" s="14"/>
      <c r="M366" s="28" t="str">
        <f>HYPERLINK("https://www.bible.com/fr/audio-bible/152/MAL.2.S21","▶ Écouter AT")</f>
        <v>▶ Écouter AT</v>
      </c>
      <c r="N366" s="29" t="str">
        <f>HYPERLINK("https://www.bible.com/fr/audio-bible/152/HEB.5.S21","▶ Écouter NT")</f>
        <v>▶ Écouter NT</v>
      </c>
      <c r="O366" s="30"/>
    </row>
  </sheetData>
  <conditionalFormatting sqref="F2:F366">
    <cfRule type="expression" dxfId="5" priority="1">
      <formula>F2="Écho thématique"</formula>
    </cfRule>
    <cfRule type="expression" dxfId="4" priority="2">
      <formula>F2="Lecture NT intégrale"</formula>
    </cfRule>
  </conditionalFormatting>
  <conditionalFormatting sqref="G2:G366">
    <cfRule type="expression" dxfId="3" priority="3">
      <formula>G2&lt;&gt;"—"</formula>
    </cfRule>
  </conditionalFormatting>
  <conditionalFormatting sqref="K2:K366">
    <cfRule type="expression" dxfId="2" priority="4">
      <formula>K2="Lu"</formula>
    </cfRule>
    <cfRule type="expression" dxfId="1" priority="5">
      <formula>K2="À reprendre"</formula>
    </cfRule>
  </conditionalFormatting>
  <conditionalFormatting sqref="O2:O366">
    <cfRule type="expression" dxfId="0" priority="6">
      <formula>O2&lt;&gt;""</formula>
    </cfRule>
  </conditionalFormatting>
  <dataValidations count="1">
    <dataValidation type="list" sqref="K2:K366" xr:uid="{00000000-0002-0000-0000-000000000000}">
      <formula1>"À lire,Lu,À reprendre"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baseColWidth="10" defaultColWidth="8.796875" defaultRowHeight="13.8"/>
  <cols>
    <col min="1" max="1" width="28" customWidth="1"/>
    <col min="2" max="2" width="105" customWidth="1"/>
  </cols>
  <sheetData>
    <row r="1" spans="1:6" ht="28.8" customHeight="1">
      <c r="A1" s="44" t="s">
        <v>1111</v>
      </c>
      <c r="B1" s="44"/>
      <c r="C1" s="44"/>
      <c r="D1" s="44"/>
      <c r="E1" s="44"/>
      <c r="F1" s="44"/>
    </row>
    <row r="3" spans="1:6" ht="27.6">
      <c r="A3" s="15" t="s">
        <v>1112</v>
      </c>
      <c r="B3" s="16" t="s">
        <v>1113</v>
      </c>
    </row>
    <row r="4" spans="1:6" ht="27.6">
      <c r="A4" s="17" t="s">
        <v>1114</v>
      </c>
      <c r="B4" s="10" t="s">
        <v>1115</v>
      </c>
    </row>
    <row r="5" spans="1:6" ht="27.6">
      <c r="A5" s="17" t="s">
        <v>1116</v>
      </c>
      <c r="B5" s="10" t="s">
        <v>1117</v>
      </c>
    </row>
    <row r="6" spans="1:6" ht="27.6">
      <c r="A6" s="17" t="s">
        <v>1118</v>
      </c>
      <c r="B6" s="10" t="s">
        <v>1119</v>
      </c>
    </row>
    <row r="7" spans="1:6" ht="27.6">
      <c r="A7" s="17" t="s">
        <v>1120</v>
      </c>
      <c r="B7" s="10" t="s">
        <v>1121</v>
      </c>
    </row>
    <row r="8" spans="1:6" ht="27.6">
      <c r="A8" s="17" t="s">
        <v>1122</v>
      </c>
      <c r="B8" s="10" t="s">
        <v>1123</v>
      </c>
    </row>
    <row r="9" spans="1:6" ht="27.6">
      <c r="A9" s="17" t="s">
        <v>1124</v>
      </c>
      <c r="B9" s="10" t="s">
        <v>1125</v>
      </c>
    </row>
    <row r="10" spans="1:6" ht="27.6">
      <c r="A10" s="17" t="s">
        <v>1126</v>
      </c>
      <c r="B10" s="10" t="s">
        <v>1127</v>
      </c>
    </row>
    <row r="11" spans="1:6">
      <c r="A11" s="18" t="s">
        <v>10</v>
      </c>
      <c r="B11" s="14" t="s">
        <v>1128</v>
      </c>
    </row>
    <row r="13" spans="1:6">
      <c r="A13" s="1" t="s">
        <v>1129</v>
      </c>
      <c r="B13" s="2"/>
    </row>
    <row r="14" spans="1:6">
      <c r="A14" s="19" t="s">
        <v>1130</v>
      </c>
      <c r="B14" s="4" t="s">
        <v>1131</v>
      </c>
    </row>
    <row r="15" spans="1:6">
      <c r="A15" s="19" t="s">
        <v>1132</v>
      </c>
      <c r="B15" s="4" t="s">
        <v>1133</v>
      </c>
    </row>
    <row r="16" spans="1:6">
      <c r="A16" s="19" t="s">
        <v>1134</v>
      </c>
      <c r="B16" s="4" t="s">
        <v>1135</v>
      </c>
    </row>
    <row r="17" spans="1:2">
      <c r="A17" s="19" t="s">
        <v>1136</v>
      </c>
      <c r="B17" s="4" t="s">
        <v>1137</v>
      </c>
    </row>
    <row r="18" spans="1:2">
      <c r="A18" s="19" t="s">
        <v>1138</v>
      </c>
      <c r="B18" s="4" t="s">
        <v>1139</v>
      </c>
    </row>
    <row r="20" spans="1:2">
      <c r="A20" s="20" t="s">
        <v>1140</v>
      </c>
      <c r="B20" s="21"/>
    </row>
    <row r="21" spans="1:2" ht="27.6">
      <c r="A21" s="38" t="s">
        <v>1141</v>
      </c>
      <c r="B21" s="4" t="s">
        <v>1142</v>
      </c>
    </row>
    <row r="22" spans="1:2" ht="27.6">
      <c r="A22" s="38" t="s">
        <v>1143</v>
      </c>
      <c r="B22" s="4" t="s">
        <v>1144</v>
      </c>
    </row>
    <row r="23" spans="1:2" ht="27.6">
      <c r="A23" s="38" t="s">
        <v>1145</v>
      </c>
      <c r="B23" s="4" t="s">
        <v>1146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1"/>
  <sheetViews>
    <sheetView workbookViewId="0"/>
  </sheetViews>
  <sheetFormatPr baseColWidth="10" defaultColWidth="8.796875" defaultRowHeight="13.8"/>
  <cols>
    <col min="1" max="1" width="22" customWidth="1"/>
    <col min="2" max="2" width="10" customWidth="1"/>
    <col min="3" max="3" width="13" customWidth="1"/>
    <col min="4" max="4" width="30" customWidth="1"/>
    <col min="5" max="5" width="24" customWidth="1"/>
    <col min="6" max="6" width="26" customWidth="1"/>
  </cols>
  <sheetData>
    <row r="1" spans="1:6" ht="25.65" customHeight="1">
      <c r="A1" s="3" t="s">
        <v>1147</v>
      </c>
      <c r="B1" s="3" t="s">
        <v>1148</v>
      </c>
      <c r="C1" s="3" t="s">
        <v>1149</v>
      </c>
      <c r="D1" s="3" t="s">
        <v>1150</v>
      </c>
      <c r="E1" s="3" t="s">
        <v>27</v>
      </c>
      <c r="F1" s="3" t="s">
        <v>1151</v>
      </c>
    </row>
    <row r="2" spans="1:6">
      <c r="A2" s="4" t="s">
        <v>1152</v>
      </c>
      <c r="B2" s="4">
        <v>1</v>
      </c>
      <c r="C2" s="4">
        <v>56</v>
      </c>
      <c r="D2" s="4" t="s">
        <v>215</v>
      </c>
      <c r="E2" s="4" t="s">
        <v>216</v>
      </c>
      <c r="F2" s="4" t="s">
        <v>19</v>
      </c>
    </row>
    <row r="3" spans="1:6">
      <c r="A3" s="4" t="s">
        <v>1152</v>
      </c>
      <c r="B3" s="4">
        <v>2</v>
      </c>
      <c r="C3" s="4">
        <v>106</v>
      </c>
      <c r="D3" s="4" t="s">
        <v>380</v>
      </c>
      <c r="E3" s="4" t="s">
        <v>381</v>
      </c>
      <c r="F3" s="4" t="s">
        <v>19</v>
      </c>
    </row>
    <row r="4" spans="1:6">
      <c r="A4" s="4" t="s">
        <v>1152</v>
      </c>
      <c r="B4" s="4">
        <v>3</v>
      </c>
      <c r="C4" s="4">
        <v>62</v>
      </c>
      <c r="D4" s="4" t="s">
        <v>238</v>
      </c>
      <c r="E4" s="4" t="s">
        <v>239</v>
      </c>
      <c r="F4" s="4" t="s">
        <v>19</v>
      </c>
    </row>
    <row r="5" spans="1:6">
      <c r="A5" s="4" t="s">
        <v>1152</v>
      </c>
      <c r="B5" s="4">
        <v>4</v>
      </c>
      <c r="C5" s="4">
        <v>224</v>
      </c>
      <c r="D5" s="4" t="s">
        <v>708</v>
      </c>
      <c r="E5" s="4" t="s">
        <v>709</v>
      </c>
      <c r="F5" s="4" t="s">
        <v>19</v>
      </c>
    </row>
    <row r="6" spans="1:6">
      <c r="A6" s="4" t="s">
        <v>1152</v>
      </c>
      <c r="B6" s="4">
        <v>5</v>
      </c>
      <c r="C6" s="4">
        <v>65</v>
      </c>
      <c r="D6" s="4" t="s">
        <v>249</v>
      </c>
      <c r="E6" s="4" t="s">
        <v>250</v>
      </c>
      <c r="F6" s="4" t="s">
        <v>19</v>
      </c>
    </row>
    <row r="7" spans="1:6">
      <c r="A7" s="4" t="s">
        <v>1152</v>
      </c>
      <c r="B7" s="4">
        <v>6</v>
      </c>
      <c r="C7" s="4">
        <v>63</v>
      </c>
      <c r="D7" s="4" t="s">
        <v>241</v>
      </c>
      <c r="E7" s="4" t="s">
        <v>242</v>
      </c>
      <c r="F7" s="4" t="s">
        <v>19</v>
      </c>
    </row>
    <row r="8" spans="1:6">
      <c r="A8" s="4" t="s">
        <v>1152</v>
      </c>
      <c r="B8" s="4">
        <v>7</v>
      </c>
      <c r="C8" s="4">
        <v>64</v>
      </c>
      <c r="D8" s="4" t="s">
        <v>246</v>
      </c>
      <c r="E8" s="4" t="s">
        <v>247</v>
      </c>
      <c r="F8" s="4" t="s">
        <v>19</v>
      </c>
    </row>
    <row r="9" spans="1:6">
      <c r="A9" s="4" t="s">
        <v>1152</v>
      </c>
      <c r="B9" s="4">
        <v>8</v>
      </c>
      <c r="C9" s="4">
        <v>124</v>
      </c>
      <c r="D9" s="4" t="s">
        <v>434</v>
      </c>
      <c r="E9" s="4" t="s">
        <v>435</v>
      </c>
      <c r="F9" s="4" t="s">
        <v>19</v>
      </c>
    </row>
    <row r="10" spans="1:6">
      <c r="A10" s="4" t="s">
        <v>1152</v>
      </c>
      <c r="B10" s="4">
        <v>9</v>
      </c>
      <c r="C10" s="4">
        <v>125</v>
      </c>
      <c r="D10" s="4" t="s">
        <v>437</v>
      </c>
      <c r="E10" s="4" t="s">
        <v>438</v>
      </c>
      <c r="F10" s="4" t="s">
        <v>19</v>
      </c>
    </row>
    <row r="11" spans="1:6">
      <c r="A11" s="4" t="s">
        <v>1152</v>
      </c>
      <c r="B11" s="4">
        <v>10</v>
      </c>
      <c r="C11" s="4">
        <v>103</v>
      </c>
      <c r="D11" s="4" t="s">
        <v>371</v>
      </c>
      <c r="E11" s="4" t="s">
        <v>372</v>
      </c>
      <c r="F11" s="4" t="s">
        <v>253</v>
      </c>
    </row>
    <row r="12" spans="1:6">
      <c r="A12" s="4" t="s">
        <v>1152</v>
      </c>
      <c r="B12" s="4">
        <v>11</v>
      </c>
      <c r="C12" s="4">
        <v>141</v>
      </c>
      <c r="D12" s="4" t="s">
        <v>479</v>
      </c>
      <c r="E12" s="4" t="s">
        <v>480</v>
      </c>
      <c r="F12" s="4" t="s">
        <v>342</v>
      </c>
    </row>
    <row r="13" spans="1:6">
      <c r="A13" s="4" t="s">
        <v>1152</v>
      </c>
      <c r="B13" s="4">
        <v>12</v>
      </c>
      <c r="C13" s="4">
        <v>102</v>
      </c>
      <c r="D13" s="4" t="s">
        <v>368</v>
      </c>
      <c r="E13" s="4" t="s">
        <v>369</v>
      </c>
      <c r="F13" s="4" t="s">
        <v>253</v>
      </c>
    </row>
    <row r="14" spans="1:6">
      <c r="A14" s="4" t="s">
        <v>1152</v>
      </c>
      <c r="B14" s="4">
        <v>13</v>
      </c>
      <c r="C14" s="4">
        <v>132</v>
      </c>
      <c r="D14" s="4" t="s">
        <v>455</v>
      </c>
      <c r="E14" s="4" t="s">
        <v>456</v>
      </c>
      <c r="F14" s="4" t="s">
        <v>423</v>
      </c>
    </row>
    <row r="15" spans="1:6">
      <c r="A15" s="4" t="s">
        <v>1152</v>
      </c>
      <c r="B15" s="4">
        <v>14</v>
      </c>
      <c r="C15" s="4">
        <v>7</v>
      </c>
      <c r="D15" s="4" t="s">
        <v>49</v>
      </c>
      <c r="E15" s="4" t="s">
        <v>50</v>
      </c>
      <c r="F15" s="4" t="s">
        <v>19</v>
      </c>
    </row>
    <row r="16" spans="1:6">
      <c r="A16" s="4" t="s">
        <v>1152</v>
      </c>
      <c r="B16" s="4">
        <v>15</v>
      </c>
      <c r="C16" s="4">
        <v>6</v>
      </c>
      <c r="D16" s="4" t="s">
        <v>46</v>
      </c>
      <c r="E16" s="4" t="s">
        <v>47</v>
      </c>
      <c r="F16" s="4" t="s">
        <v>19</v>
      </c>
    </row>
    <row r="17" spans="1:6">
      <c r="A17" s="4" t="s">
        <v>1152</v>
      </c>
      <c r="B17" s="4">
        <v>16</v>
      </c>
      <c r="C17" s="4">
        <v>272</v>
      </c>
      <c r="D17" s="4" t="s">
        <v>835</v>
      </c>
      <c r="E17" s="4" t="s">
        <v>836</v>
      </c>
      <c r="F17" s="4" t="s">
        <v>19</v>
      </c>
    </row>
    <row r="18" spans="1:6">
      <c r="A18" s="4" t="s">
        <v>1152</v>
      </c>
      <c r="B18" s="4">
        <v>17</v>
      </c>
      <c r="C18" s="4">
        <v>337</v>
      </c>
      <c r="D18" s="4" t="s">
        <v>1026</v>
      </c>
      <c r="E18" s="4" t="s">
        <v>1027</v>
      </c>
      <c r="F18" s="4" t="s">
        <v>19</v>
      </c>
    </row>
    <row r="19" spans="1:6">
      <c r="A19" s="4" t="s">
        <v>1152</v>
      </c>
      <c r="B19" s="4">
        <v>18</v>
      </c>
      <c r="C19" s="4">
        <v>82</v>
      </c>
      <c r="D19" s="4" t="s">
        <v>311</v>
      </c>
      <c r="E19" s="4" t="s">
        <v>312</v>
      </c>
      <c r="F19" s="4" t="s">
        <v>234</v>
      </c>
    </row>
    <row r="20" spans="1:6">
      <c r="A20" s="4" t="s">
        <v>1152</v>
      </c>
      <c r="B20" s="4">
        <v>19</v>
      </c>
      <c r="C20" s="4">
        <v>14</v>
      </c>
      <c r="D20" s="4" t="s">
        <v>70</v>
      </c>
      <c r="E20" s="4" t="s">
        <v>71</v>
      </c>
      <c r="F20" s="4" t="s">
        <v>33</v>
      </c>
    </row>
    <row r="21" spans="1:6">
      <c r="A21" s="4" t="s">
        <v>1152</v>
      </c>
      <c r="B21" s="4">
        <v>20</v>
      </c>
      <c r="C21" s="4">
        <v>13</v>
      </c>
      <c r="D21" s="4" t="s">
        <v>67</v>
      </c>
      <c r="E21" s="4" t="s">
        <v>68</v>
      </c>
      <c r="F21" s="4" t="s">
        <v>33</v>
      </c>
    </row>
    <row r="22" spans="1:6">
      <c r="A22" s="4" t="s">
        <v>1152</v>
      </c>
      <c r="B22" s="4">
        <v>21</v>
      </c>
      <c r="C22" s="4">
        <v>159</v>
      </c>
      <c r="D22" s="4" t="s">
        <v>527</v>
      </c>
      <c r="E22" s="4" t="s">
        <v>528</v>
      </c>
      <c r="F22" s="4" t="s">
        <v>19</v>
      </c>
    </row>
    <row r="23" spans="1:6">
      <c r="A23" s="4" t="s">
        <v>1152</v>
      </c>
      <c r="B23" s="4">
        <v>22</v>
      </c>
      <c r="C23" s="4">
        <v>358</v>
      </c>
      <c r="D23" s="4" t="s">
        <v>1088</v>
      </c>
      <c r="E23" s="4" t="s">
        <v>1089</v>
      </c>
      <c r="F23" s="4" t="s">
        <v>19</v>
      </c>
    </row>
    <row r="24" spans="1:6">
      <c r="A24" s="4" t="s">
        <v>1152</v>
      </c>
      <c r="B24" s="4">
        <v>23</v>
      </c>
      <c r="C24" s="4">
        <v>40</v>
      </c>
      <c r="D24" s="4" t="s">
        <v>160</v>
      </c>
      <c r="E24" s="4" t="s">
        <v>161</v>
      </c>
      <c r="F24" s="4" t="s">
        <v>130</v>
      </c>
    </row>
    <row r="25" spans="1:6">
      <c r="A25" s="4" t="s">
        <v>1152</v>
      </c>
      <c r="B25" s="4">
        <v>24</v>
      </c>
      <c r="C25" s="4">
        <v>51</v>
      </c>
      <c r="D25" s="4" t="s">
        <v>198</v>
      </c>
      <c r="E25" s="4" t="s">
        <v>199</v>
      </c>
      <c r="F25" s="4" t="s">
        <v>120</v>
      </c>
    </row>
    <row r="26" spans="1:6">
      <c r="A26" s="4" t="s">
        <v>1152</v>
      </c>
      <c r="B26" s="4">
        <v>25</v>
      </c>
      <c r="C26" s="4">
        <v>52</v>
      </c>
      <c r="D26" s="4" t="s">
        <v>201</v>
      </c>
      <c r="E26" s="4" t="s">
        <v>202</v>
      </c>
      <c r="F26" s="4" t="s">
        <v>130</v>
      </c>
    </row>
    <row r="27" spans="1:6">
      <c r="A27" s="4" t="s">
        <v>1152</v>
      </c>
      <c r="B27" s="4">
        <v>26</v>
      </c>
      <c r="C27" s="4">
        <v>288</v>
      </c>
      <c r="D27" s="4" t="s">
        <v>887</v>
      </c>
      <c r="E27" s="4" t="s">
        <v>888</v>
      </c>
      <c r="F27" s="4" t="s">
        <v>19</v>
      </c>
    </row>
    <row r="28" spans="1:6">
      <c r="A28" s="4" t="s">
        <v>1152</v>
      </c>
      <c r="B28" s="4">
        <v>27</v>
      </c>
      <c r="C28" s="4">
        <v>45</v>
      </c>
      <c r="D28" s="4" t="s">
        <v>178</v>
      </c>
      <c r="E28" s="4" t="s">
        <v>179</v>
      </c>
      <c r="F28" s="4" t="s">
        <v>19</v>
      </c>
    </row>
    <row r="29" spans="1:6">
      <c r="A29" s="4" t="s">
        <v>1152</v>
      </c>
      <c r="B29" s="4">
        <v>28</v>
      </c>
      <c r="C29" s="4">
        <v>350</v>
      </c>
      <c r="D29" s="4" t="s">
        <v>1064</v>
      </c>
      <c r="E29" s="4" t="s">
        <v>1065</v>
      </c>
      <c r="F29" s="4" t="s">
        <v>19</v>
      </c>
    </row>
    <row r="30" spans="1:6">
      <c r="A30" s="4" t="s">
        <v>1153</v>
      </c>
      <c r="B30" s="4">
        <v>1</v>
      </c>
      <c r="C30" s="4">
        <v>338</v>
      </c>
      <c r="D30" s="4" t="s">
        <v>1029</v>
      </c>
      <c r="E30" s="4" t="s">
        <v>1030</v>
      </c>
      <c r="F30" s="4" t="s">
        <v>19</v>
      </c>
    </row>
    <row r="31" spans="1:6">
      <c r="A31" s="4" t="s">
        <v>1153</v>
      </c>
      <c r="B31" s="4">
        <v>2</v>
      </c>
      <c r="C31" s="4">
        <v>339</v>
      </c>
      <c r="D31" s="4" t="s">
        <v>1032</v>
      </c>
      <c r="E31" s="4" t="s">
        <v>1033</v>
      </c>
      <c r="F31" s="4" t="s">
        <v>19</v>
      </c>
    </row>
    <row r="32" spans="1:6">
      <c r="A32" s="4" t="s">
        <v>1153</v>
      </c>
      <c r="B32" s="4">
        <v>3</v>
      </c>
      <c r="C32" s="4">
        <v>353</v>
      </c>
      <c r="D32" s="4" t="s">
        <v>1073</v>
      </c>
      <c r="E32" s="4" t="s">
        <v>1074</v>
      </c>
      <c r="F32" s="4" t="s">
        <v>19</v>
      </c>
    </row>
    <row r="33" spans="1:6">
      <c r="A33" s="4" t="s">
        <v>1153</v>
      </c>
      <c r="B33" s="4">
        <v>4</v>
      </c>
      <c r="C33" s="4">
        <v>54</v>
      </c>
      <c r="D33" s="4" t="s">
        <v>206</v>
      </c>
      <c r="E33" s="4" t="s">
        <v>207</v>
      </c>
      <c r="F33" s="4" t="s">
        <v>130</v>
      </c>
    </row>
    <row r="34" spans="1:6">
      <c r="A34" s="4" t="s">
        <v>1153</v>
      </c>
      <c r="B34" s="4">
        <v>5</v>
      </c>
      <c r="C34" s="4">
        <v>126</v>
      </c>
      <c r="D34" s="4" t="s">
        <v>440</v>
      </c>
      <c r="E34" s="4" t="s">
        <v>441</v>
      </c>
      <c r="F34" s="4" t="s">
        <v>28</v>
      </c>
    </row>
    <row r="35" spans="1:6">
      <c r="A35" s="4" t="s">
        <v>1153</v>
      </c>
      <c r="B35" s="4">
        <v>6</v>
      </c>
      <c r="C35" s="4">
        <v>55</v>
      </c>
      <c r="D35" s="4" t="s">
        <v>209</v>
      </c>
      <c r="E35" s="4" t="s">
        <v>210</v>
      </c>
      <c r="F35" s="4" t="s">
        <v>19</v>
      </c>
    </row>
    <row r="36" spans="1:6">
      <c r="A36" s="4" t="s">
        <v>1153</v>
      </c>
      <c r="B36" s="4">
        <v>7</v>
      </c>
      <c r="C36" s="4">
        <v>189</v>
      </c>
      <c r="D36" s="4" t="s">
        <v>616</v>
      </c>
      <c r="E36" s="4" t="s">
        <v>617</v>
      </c>
      <c r="F36" s="4" t="s">
        <v>19</v>
      </c>
    </row>
    <row r="37" spans="1:6">
      <c r="A37" s="4" t="s">
        <v>1153</v>
      </c>
      <c r="B37" s="4">
        <v>8</v>
      </c>
      <c r="C37" s="4">
        <v>92</v>
      </c>
      <c r="D37" s="4" t="s">
        <v>340</v>
      </c>
      <c r="E37" s="4" t="s">
        <v>341</v>
      </c>
      <c r="F37" s="4" t="s">
        <v>342</v>
      </c>
    </row>
    <row r="38" spans="1:6">
      <c r="A38" s="4" t="s">
        <v>1153</v>
      </c>
      <c r="B38" s="4">
        <v>9</v>
      </c>
      <c r="C38" s="4">
        <v>84</v>
      </c>
      <c r="D38" s="4" t="s">
        <v>317</v>
      </c>
      <c r="E38" s="4" t="s">
        <v>318</v>
      </c>
      <c r="F38" s="4" t="s">
        <v>28</v>
      </c>
    </row>
    <row r="39" spans="1:6">
      <c r="A39" s="4" t="s">
        <v>1153</v>
      </c>
      <c r="B39" s="4">
        <v>10</v>
      </c>
      <c r="C39" s="4">
        <v>85</v>
      </c>
      <c r="D39" s="4" t="s">
        <v>320</v>
      </c>
      <c r="E39" s="4" t="s">
        <v>321</v>
      </c>
      <c r="F39" s="4" t="s">
        <v>28</v>
      </c>
    </row>
    <row r="40" spans="1:6">
      <c r="A40" s="4" t="s">
        <v>1153</v>
      </c>
      <c r="B40" s="4">
        <v>11</v>
      </c>
      <c r="C40" s="4">
        <v>90</v>
      </c>
      <c r="D40" s="4" t="s">
        <v>334</v>
      </c>
      <c r="E40" s="4" t="s">
        <v>335</v>
      </c>
      <c r="F40" s="4" t="s">
        <v>19</v>
      </c>
    </row>
    <row r="41" spans="1:6">
      <c r="A41" s="4" t="s">
        <v>1153</v>
      </c>
      <c r="B41" s="4">
        <v>12</v>
      </c>
      <c r="C41" s="4">
        <v>91</v>
      </c>
      <c r="D41" s="4" t="s">
        <v>337</v>
      </c>
      <c r="E41" s="4" t="s">
        <v>338</v>
      </c>
      <c r="F41" s="4" t="s">
        <v>19</v>
      </c>
    </row>
    <row r="42" spans="1:6">
      <c r="A42" s="4" t="s">
        <v>1153</v>
      </c>
      <c r="B42" s="4">
        <v>13</v>
      </c>
      <c r="C42" s="4">
        <v>96</v>
      </c>
      <c r="D42" s="4" t="s">
        <v>353</v>
      </c>
      <c r="E42" s="4" t="s">
        <v>354</v>
      </c>
      <c r="F42" s="4" t="s">
        <v>19</v>
      </c>
    </row>
    <row r="43" spans="1:6">
      <c r="A43" s="4" t="s">
        <v>1153</v>
      </c>
      <c r="B43" s="4">
        <v>14</v>
      </c>
      <c r="C43" s="4">
        <v>25</v>
      </c>
      <c r="D43" s="4" t="s">
        <v>113</v>
      </c>
      <c r="E43" s="4" t="s">
        <v>114</v>
      </c>
      <c r="F43" s="4" t="s">
        <v>19</v>
      </c>
    </row>
    <row r="44" spans="1:6">
      <c r="A44" s="4" t="s">
        <v>1153</v>
      </c>
      <c r="B44" s="4">
        <v>15</v>
      </c>
      <c r="C44" s="4">
        <v>115</v>
      </c>
      <c r="D44" s="4" t="s">
        <v>407</v>
      </c>
      <c r="E44" s="4" t="s">
        <v>408</v>
      </c>
      <c r="F44" s="4" t="s">
        <v>19</v>
      </c>
    </row>
    <row r="45" spans="1:6">
      <c r="A45" s="4" t="s">
        <v>1153</v>
      </c>
      <c r="B45" s="4">
        <v>16</v>
      </c>
      <c r="C45" s="4">
        <v>61</v>
      </c>
      <c r="D45" s="4" t="s">
        <v>232</v>
      </c>
      <c r="E45" s="4" t="s">
        <v>233</v>
      </c>
      <c r="F45" s="4" t="s">
        <v>234</v>
      </c>
    </row>
    <row r="46" spans="1:6">
      <c r="A46" s="4" t="s">
        <v>1154</v>
      </c>
      <c r="B46" s="4">
        <v>1</v>
      </c>
      <c r="C46" s="4">
        <v>107</v>
      </c>
      <c r="D46" s="4" t="s">
        <v>383</v>
      </c>
      <c r="E46" s="4" t="s">
        <v>384</v>
      </c>
      <c r="F46" s="4" t="s">
        <v>19</v>
      </c>
    </row>
    <row r="47" spans="1:6">
      <c r="A47" s="4" t="s">
        <v>1154</v>
      </c>
      <c r="B47" s="4">
        <v>2</v>
      </c>
      <c r="C47" s="4">
        <v>108</v>
      </c>
      <c r="D47" s="4" t="s">
        <v>386</v>
      </c>
      <c r="E47" s="4" t="s">
        <v>387</v>
      </c>
      <c r="F47" s="4" t="s">
        <v>19</v>
      </c>
    </row>
    <row r="48" spans="1:6">
      <c r="A48" s="4" t="s">
        <v>1154</v>
      </c>
      <c r="B48" s="4">
        <v>3</v>
      </c>
      <c r="C48" s="4">
        <v>100</v>
      </c>
      <c r="D48" s="4" t="s">
        <v>362</v>
      </c>
      <c r="E48" s="4" t="s">
        <v>363</v>
      </c>
      <c r="F48" s="4" t="s">
        <v>19</v>
      </c>
    </row>
    <row r="49" spans="1:6">
      <c r="A49" s="4" t="s">
        <v>1154</v>
      </c>
      <c r="B49" s="4">
        <v>4</v>
      </c>
      <c r="C49" s="4">
        <v>101</v>
      </c>
      <c r="D49" s="4" t="s">
        <v>365</v>
      </c>
      <c r="E49" s="4" t="s">
        <v>366</v>
      </c>
      <c r="F49" s="4" t="s">
        <v>19</v>
      </c>
    </row>
    <row r="50" spans="1:6">
      <c r="A50" s="4" t="s">
        <v>1154</v>
      </c>
      <c r="B50" s="4">
        <v>5</v>
      </c>
      <c r="C50" s="4">
        <v>127</v>
      </c>
      <c r="D50" s="4" t="s">
        <v>443</v>
      </c>
      <c r="E50" s="4" t="s">
        <v>444</v>
      </c>
      <c r="F50" s="4" t="s">
        <v>33</v>
      </c>
    </row>
    <row r="51" spans="1:6">
      <c r="A51" s="4" t="s">
        <v>1154</v>
      </c>
      <c r="B51" s="4">
        <v>6</v>
      </c>
      <c r="C51" s="4">
        <v>75</v>
      </c>
      <c r="D51" s="4" t="s">
        <v>287</v>
      </c>
      <c r="E51" s="4" t="s">
        <v>288</v>
      </c>
      <c r="F51" s="4" t="s">
        <v>33</v>
      </c>
    </row>
    <row r="52" spans="1:6">
      <c r="A52" s="4" t="s">
        <v>1154</v>
      </c>
      <c r="B52" s="4">
        <v>7</v>
      </c>
      <c r="C52" s="4">
        <v>76</v>
      </c>
      <c r="D52" s="4" t="s">
        <v>290</v>
      </c>
      <c r="E52" s="4" t="s">
        <v>291</v>
      </c>
      <c r="F52" s="4" t="s">
        <v>33</v>
      </c>
    </row>
    <row r="53" spans="1:6">
      <c r="A53" s="4" t="s">
        <v>1154</v>
      </c>
      <c r="B53" s="4">
        <v>8</v>
      </c>
      <c r="C53" s="4">
        <v>77</v>
      </c>
      <c r="D53" s="4" t="s">
        <v>293</v>
      </c>
      <c r="E53" s="4" t="s">
        <v>294</v>
      </c>
      <c r="F53" s="4" t="s">
        <v>295</v>
      </c>
    </row>
    <row r="54" spans="1:6">
      <c r="A54" s="4" t="s">
        <v>1154</v>
      </c>
      <c r="B54" s="4">
        <v>9</v>
      </c>
      <c r="C54" s="4">
        <v>78</v>
      </c>
      <c r="D54" s="4" t="s">
        <v>299</v>
      </c>
      <c r="E54" s="4" t="s">
        <v>300</v>
      </c>
      <c r="F54" s="4" t="s">
        <v>295</v>
      </c>
    </row>
    <row r="55" spans="1:6">
      <c r="A55" s="4" t="s">
        <v>1154</v>
      </c>
      <c r="B55" s="4">
        <v>10</v>
      </c>
      <c r="C55" s="4">
        <v>73</v>
      </c>
      <c r="D55" s="4" t="s">
        <v>278</v>
      </c>
      <c r="E55" s="4" t="s">
        <v>279</v>
      </c>
      <c r="F55" s="4" t="s">
        <v>280</v>
      </c>
    </row>
    <row r="56" spans="1:6">
      <c r="A56" s="4" t="s">
        <v>1154</v>
      </c>
      <c r="B56" s="4">
        <v>11</v>
      </c>
      <c r="C56" s="4">
        <v>72</v>
      </c>
      <c r="D56" s="4" t="s">
        <v>275</v>
      </c>
      <c r="E56" s="4" t="s">
        <v>276</v>
      </c>
      <c r="F56" s="4" t="s">
        <v>33</v>
      </c>
    </row>
    <row r="57" spans="1:6">
      <c r="A57" s="4" t="s">
        <v>1154</v>
      </c>
      <c r="B57" s="4">
        <v>12</v>
      </c>
      <c r="C57" s="4">
        <v>188</v>
      </c>
      <c r="D57" s="4" t="s">
        <v>613</v>
      </c>
      <c r="E57" s="4" t="s">
        <v>614</v>
      </c>
      <c r="F57" s="4" t="s">
        <v>17</v>
      </c>
    </row>
    <row r="58" spans="1:6">
      <c r="A58" s="4" t="s">
        <v>1154</v>
      </c>
      <c r="B58" s="4">
        <v>13</v>
      </c>
      <c r="C58" s="4">
        <v>80</v>
      </c>
      <c r="D58" s="4" t="s">
        <v>305</v>
      </c>
      <c r="E58" s="4" t="s">
        <v>306</v>
      </c>
      <c r="F58" s="4" t="s">
        <v>234</v>
      </c>
    </row>
    <row r="59" spans="1:6">
      <c r="A59" s="4" t="s">
        <v>1154</v>
      </c>
      <c r="B59" s="4">
        <v>14</v>
      </c>
      <c r="C59" s="4">
        <v>81</v>
      </c>
      <c r="D59" s="4" t="s">
        <v>308</v>
      </c>
      <c r="E59" s="4" t="s">
        <v>309</v>
      </c>
      <c r="F59" s="4" t="s">
        <v>234</v>
      </c>
    </row>
    <row r="60" spans="1:6">
      <c r="A60" s="4" t="s">
        <v>1154</v>
      </c>
      <c r="B60" s="4">
        <v>15</v>
      </c>
      <c r="C60" s="4">
        <v>357</v>
      </c>
      <c r="D60" s="4" t="s">
        <v>1085</v>
      </c>
      <c r="E60" s="4" t="s">
        <v>1086</v>
      </c>
      <c r="F60" s="4" t="s">
        <v>19</v>
      </c>
    </row>
    <row r="61" spans="1:6">
      <c r="A61" s="4" t="s">
        <v>1154</v>
      </c>
      <c r="B61" s="4">
        <v>16</v>
      </c>
      <c r="C61" s="4">
        <v>178</v>
      </c>
      <c r="D61" s="4" t="s">
        <v>580</v>
      </c>
      <c r="E61" s="4" t="s">
        <v>581</v>
      </c>
      <c r="F61" s="4" t="s">
        <v>19</v>
      </c>
    </row>
    <row r="62" spans="1:6">
      <c r="A62" s="4" t="s">
        <v>1154</v>
      </c>
      <c r="B62" s="4">
        <v>17</v>
      </c>
      <c r="C62" s="4">
        <v>179</v>
      </c>
      <c r="D62" s="4" t="s">
        <v>583</v>
      </c>
      <c r="E62" s="4" t="s">
        <v>584</v>
      </c>
      <c r="F62" s="4" t="s">
        <v>19</v>
      </c>
    </row>
    <row r="63" spans="1:6">
      <c r="A63" s="4" t="s">
        <v>1154</v>
      </c>
      <c r="B63" s="4">
        <v>18</v>
      </c>
      <c r="C63" s="4">
        <v>131</v>
      </c>
      <c r="D63" s="4" t="s">
        <v>452</v>
      </c>
      <c r="E63" s="4" t="s">
        <v>453</v>
      </c>
      <c r="F63" s="4" t="s">
        <v>253</v>
      </c>
    </row>
    <row r="64" spans="1:6">
      <c r="A64" s="4" t="s">
        <v>1154</v>
      </c>
      <c r="B64" s="4">
        <v>19</v>
      </c>
      <c r="C64" s="4">
        <v>118</v>
      </c>
      <c r="D64" s="4" t="s">
        <v>417</v>
      </c>
      <c r="E64" s="4" t="s">
        <v>418</v>
      </c>
      <c r="F64" s="4" t="s">
        <v>19</v>
      </c>
    </row>
    <row r="65" spans="1:6">
      <c r="A65" s="4" t="s">
        <v>1154</v>
      </c>
      <c r="B65" s="4">
        <v>20</v>
      </c>
      <c r="C65" s="4">
        <v>142</v>
      </c>
      <c r="D65" s="4" t="s">
        <v>482</v>
      </c>
      <c r="E65" s="4" t="s">
        <v>483</v>
      </c>
      <c r="F65" s="4" t="s">
        <v>19</v>
      </c>
    </row>
    <row r="66" spans="1:6">
      <c r="A66" s="4" t="s">
        <v>1154</v>
      </c>
      <c r="B66" s="4">
        <v>21</v>
      </c>
      <c r="C66" s="4">
        <v>361</v>
      </c>
      <c r="D66" s="4" t="s">
        <v>1097</v>
      </c>
      <c r="E66" s="4" t="s">
        <v>1098</v>
      </c>
      <c r="F66" s="4" t="s">
        <v>19</v>
      </c>
    </row>
    <row r="67" spans="1:6">
      <c r="A67" s="4" t="s">
        <v>1154</v>
      </c>
      <c r="B67" s="4">
        <v>22</v>
      </c>
      <c r="C67" s="4">
        <v>114</v>
      </c>
      <c r="D67" s="4" t="s">
        <v>404</v>
      </c>
      <c r="E67" s="4" t="s">
        <v>405</v>
      </c>
      <c r="F67" s="4" t="s">
        <v>55</v>
      </c>
    </row>
    <row r="68" spans="1:6">
      <c r="A68" s="4" t="s">
        <v>1154</v>
      </c>
      <c r="B68" s="4">
        <v>23</v>
      </c>
      <c r="C68" s="4">
        <v>46</v>
      </c>
      <c r="D68" s="4" t="s">
        <v>181</v>
      </c>
      <c r="E68" s="4" t="s">
        <v>182</v>
      </c>
      <c r="F68" s="4" t="s">
        <v>183</v>
      </c>
    </row>
    <row r="69" spans="1:6">
      <c r="A69" s="4" t="s">
        <v>1154</v>
      </c>
      <c r="B69" s="4">
        <v>24</v>
      </c>
      <c r="C69" s="4">
        <v>351</v>
      </c>
      <c r="D69" s="4" t="s">
        <v>1067</v>
      </c>
      <c r="E69" s="4" t="s">
        <v>1068</v>
      </c>
      <c r="F69" s="4" t="s">
        <v>19</v>
      </c>
    </row>
    <row r="70" spans="1:6">
      <c r="A70" s="4" t="s">
        <v>1155</v>
      </c>
      <c r="B70" s="4">
        <v>1</v>
      </c>
      <c r="C70" s="4">
        <v>197</v>
      </c>
      <c r="D70" s="4" t="s">
        <v>635</v>
      </c>
      <c r="E70" s="4" t="s">
        <v>636</v>
      </c>
      <c r="F70" s="4" t="s">
        <v>19</v>
      </c>
    </row>
    <row r="71" spans="1:6">
      <c r="A71" s="4" t="s">
        <v>1155</v>
      </c>
      <c r="B71" s="4">
        <v>2</v>
      </c>
      <c r="C71" s="4">
        <v>117</v>
      </c>
      <c r="D71" s="4" t="s">
        <v>412</v>
      </c>
      <c r="E71" s="4" t="s">
        <v>413</v>
      </c>
      <c r="F71" s="4" t="s">
        <v>19</v>
      </c>
    </row>
    <row r="72" spans="1:6">
      <c r="A72" s="4" t="s">
        <v>1155</v>
      </c>
      <c r="B72" s="4">
        <v>3</v>
      </c>
      <c r="C72" s="4">
        <v>330</v>
      </c>
      <c r="D72" s="4" t="s">
        <v>1005</v>
      </c>
      <c r="E72" s="4" t="s">
        <v>1006</v>
      </c>
      <c r="F72" s="4" t="s">
        <v>936</v>
      </c>
    </row>
    <row r="73" spans="1:6">
      <c r="A73" s="4" t="s">
        <v>1155</v>
      </c>
      <c r="B73" s="4">
        <v>4</v>
      </c>
      <c r="C73" s="4">
        <v>212</v>
      </c>
      <c r="D73" s="4" t="s">
        <v>677</v>
      </c>
      <c r="E73" s="4" t="s">
        <v>678</v>
      </c>
      <c r="F73" s="4" t="s">
        <v>19</v>
      </c>
    </row>
    <row r="74" spans="1:6">
      <c r="A74" s="4" t="s">
        <v>1155</v>
      </c>
      <c r="B74" s="4">
        <v>5</v>
      </c>
      <c r="C74" s="4">
        <v>277</v>
      </c>
      <c r="D74" s="4" t="s">
        <v>853</v>
      </c>
      <c r="E74" s="4" t="s">
        <v>854</v>
      </c>
      <c r="F74" s="4" t="s">
        <v>19</v>
      </c>
    </row>
    <row r="75" spans="1:6">
      <c r="A75" s="4" t="s">
        <v>1155</v>
      </c>
      <c r="B75" s="4">
        <v>6</v>
      </c>
      <c r="C75" s="4">
        <v>26</v>
      </c>
      <c r="D75" s="4" t="s">
        <v>116</v>
      </c>
      <c r="E75" s="4" t="s">
        <v>117</v>
      </c>
      <c r="F75" s="4" t="s">
        <v>19</v>
      </c>
    </row>
    <row r="76" spans="1:6">
      <c r="A76" s="4" t="s">
        <v>1155</v>
      </c>
      <c r="B76" s="4">
        <v>7</v>
      </c>
      <c r="C76" s="4">
        <v>289</v>
      </c>
      <c r="D76" s="4" t="s">
        <v>890</v>
      </c>
      <c r="E76" s="4" t="s">
        <v>891</v>
      </c>
      <c r="F76" s="4" t="s">
        <v>892</v>
      </c>
    </row>
    <row r="77" spans="1:6">
      <c r="A77" s="4" t="s">
        <v>1155</v>
      </c>
      <c r="B77" s="4">
        <v>8</v>
      </c>
      <c r="C77" s="4">
        <v>290</v>
      </c>
      <c r="D77" s="4" t="s">
        <v>896</v>
      </c>
      <c r="E77" s="4" t="s">
        <v>897</v>
      </c>
      <c r="F77" s="4" t="s">
        <v>892</v>
      </c>
    </row>
    <row r="78" spans="1:6">
      <c r="A78" s="4" t="s">
        <v>1155</v>
      </c>
      <c r="B78" s="4">
        <v>9</v>
      </c>
      <c r="C78" s="4">
        <v>329</v>
      </c>
      <c r="D78" s="4" t="s">
        <v>999</v>
      </c>
      <c r="E78" s="4" t="s">
        <v>1000</v>
      </c>
      <c r="F78" s="4" t="s">
        <v>1001</v>
      </c>
    </row>
    <row r="79" spans="1:6">
      <c r="A79" s="4" t="s">
        <v>1155</v>
      </c>
      <c r="B79" s="4">
        <v>10</v>
      </c>
      <c r="C79" s="4">
        <v>362</v>
      </c>
      <c r="D79" s="4" t="s">
        <v>1100</v>
      </c>
      <c r="E79" s="4" t="s">
        <v>1101</v>
      </c>
      <c r="F79" s="4" t="s">
        <v>1001</v>
      </c>
    </row>
    <row r="80" spans="1:6">
      <c r="A80" s="4" t="s">
        <v>1155</v>
      </c>
      <c r="B80" s="4">
        <v>11</v>
      </c>
      <c r="C80" s="4">
        <v>198</v>
      </c>
      <c r="D80" s="4" t="s">
        <v>638</v>
      </c>
      <c r="E80" s="4" t="s">
        <v>639</v>
      </c>
      <c r="F80" s="4" t="s">
        <v>253</v>
      </c>
    </row>
    <row r="81" spans="1:6">
      <c r="A81" s="4" t="s">
        <v>1155</v>
      </c>
      <c r="B81" s="4">
        <v>12</v>
      </c>
      <c r="C81" s="4">
        <v>140</v>
      </c>
      <c r="D81" s="4" t="s">
        <v>476</v>
      </c>
      <c r="E81" s="4" t="s">
        <v>477</v>
      </c>
      <c r="F81" s="4" t="s">
        <v>19</v>
      </c>
    </row>
    <row r="82" spans="1:6">
      <c r="A82" s="4" t="s">
        <v>1155</v>
      </c>
      <c r="B82" s="4">
        <v>13</v>
      </c>
      <c r="C82" s="4">
        <v>266</v>
      </c>
      <c r="D82" s="4" t="s">
        <v>817</v>
      </c>
      <c r="E82" s="4" t="s">
        <v>818</v>
      </c>
      <c r="F82" s="4" t="s">
        <v>19</v>
      </c>
    </row>
    <row r="83" spans="1:6">
      <c r="A83" s="4" t="s">
        <v>1155</v>
      </c>
      <c r="B83" s="4">
        <v>14</v>
      </c>
      <c r="C83" s="4">
        <v>267</v>
      </c>
      <c r="D83" s="4" t="s">
        <v>820</v>
      </c>
      <c r="E83" s="4" t="s">
        <v>821</v>
      </c>
      <c r="F83" s="4" t="s">
        <v>19</v>
      </c>
    </row>
    <row r="84" spans="1:6">
      <c r="A84" s="4" t="s">
        <v>1155</v>
      </c>
      <c r="B84" s="4">
        <v>15</v>
      </c>
      <c r="C84" s="4">
        <v>340</v>
      </c>
      <c r="D84" s="4" t="s">
        <v>1035</v>
      </c>
      <c r="E84" s="4" t="s">
        <v>1036</v>
      </c>
      <c r="F84" s="4" t="s">
        <v>19</v>
      </c>
    </row>
    <row r="85" spans="1:6">
      <c r="A85" s="4" t="s">
        <v>1155</v>
      </c>
      <c r="B85" s="4">
        <v>16</v>
      </c>
      <c r="C85" s="4">
        <v>345</v>
      </c>
      <c r="D85" s="4" t="s">
        <v>1049</v>
      </c>
      <c r="E85" s="4" t="s">
        <v>1050</v>
      </c>
      <c r="F85" s="4" t="s">
        <v>892</v>
      </c>
    </row>
    <row r="86" spans="1:6">
      <c r="A86" s="4" t="s">
        <v>1155</v>
      </c>
      <c r="B86" s="4">
        <v>17</v>
      </c>
      <c r="C86" s="4">
        <v>346</v>
      </c>
      <c r="D86" s="4" t="s">
        <v>1052</v>
      </c>
      <c r="E86" s="4" t="s">
        <v>1053</v>
      </c>
      <c r="F86" s="4" t="s">
        <v>892</v>
      </c>
    </row>
    <row r="87" spans="1:6">
      <c r="A87" s="4" t="s">
        <v>1155</v>
      </c>
      <c r="B87" s="4">
        <v>18</v>
      </c>
      <c r="C87" s="4">
        <v>156</v>
      </c>
      <c r="D87" s="4" t="s">
        <v>516</v>
      </c>
      <c r="E87" s="4" t="s">
        <v>517</v>
      </c>
      <c r="F87" s="4" t="s">
        <v>183</v>
      </c>
    </row>
    <row r="88" spans="1:6">
      <c r="A88" s="4" t="s">
        <v>1155</v>
      </c>
      <c r="B88" s="4">
        <v>19</v>
      </c>
      <c r="C88" s="4">
        <v>157</v>
      </c>
      <c r="D88" s="4" t="s">
        <v>519</v>
      </c>
      <c r="E88" s="4" t="s">
        <v>520</v>
      </c>
      <c r="F88" s="4" t="s">
        <v>183</v>
      </c>
    </row>
    <row r="89" spans="1:6">
      <c r="A89" s="4" t="s">
        <v>1155</v>
      </c>
      <c r="B89" s="4">
        <v>20</v>
      </c>
      <c r="C89" s="4">
        <v>278</v>
      </c>
      <c r="D89" s="4" t="s">
        <v>858</v>
      </c>
      <c r="E89" s="4" t="s">
        <v>859</v>
      </c>
      <c r="F89" s="4" t="s">
        <v>19</v>
      </c>
    </row>
    <row r="90" spans="1:6">
      <c r="A90" s="4" t="s">
        <v>1155</v>
      </c>
      <c r="B90" s="4">
        <v>21</v>
      </c>
      <c r="C90" s="4">
        <v>363</v>
      </c>
      <c r="D90" s="4" t="s">
        <v>1103</v>
      </c>
      <c r="E90" s="4" t="s">
        <v>1104</v>
      </c>
      <c r="F90" s="4" t="s">
        <v>1001</v>
      </c>
    </row>
    <row r="91" spans="1:6">
      <c r="A91" s="4" t="s">
        <v>1156</v>
      </c>
      <c r="B91" s="4">
        <v>1</v>
      </c>
      <c r="C91" s="4">
        <v>273</v>
      </c>
      <c r="D91" s="4" t="s">
        <v>838</v>
      </c>
      <c r="E91" s="4" t="s">
        <v>839</v>
      </c>
      <c r="F91" s="4" t="s">
        <v>840</v>
      </c>
    </row>
    <row r="92" spans="1:6">
      <c r="A92" s="4" t="s">
        <v>1156</v>
      </c>
      <c r="B92" s="4">
        <v>2</v>
      </c>
      <c r="C92" s="4">
        <v>335</v>
      </c>
      <c r="D92" s="4" t="s">
        <v>1020</v>
      </c>
      <c r="E92" s="4" t="s">
        <v>1021</v>
      </c>
      <c r="F92" s="4" t="s">
        <v>840</v>
      </c>
    </row>
    <row r="93" spans="1:6">
      <c r="A93" s="4" t="s">
        <v>1156</v>
      </c>
      <c r="B93" s="4">
        <v>3</v>
      </c>
      <c r="C93" s="4">
        <v>287</v>
      </c>
      <c r="D93" s="4" t="s">
        <v>884</v>
      </c>
      <c r="E93" s="4" t="s">
        <v>885</v>
      </c>
      <c r="F93" s="4" t="s">
        <v>19</v>
      </c>
    </row>
    <row r="94" spans="1:6">
      <c r="A94" s="4" t="s">
        <v>1156</v>
      </c>
      <c r="B94" s="4">
        <v>4</v>
      </c>
      <c r="C94" s="4">
        <v>306</v>
      </c>
      <c r="D94" s="4" t="s">
        <v>940</v>
      </c>
      <c r="E94" s="4" t="s">
        <v>941</v>
      </c>
      <c r="F94" s="4" t="s">
        <v>19</v>
      </c>
    </row>
    <row r="95" spans="1:6">
      <c r="A95" s="4" t="s">
        <v>1156</v>
      </c>
      <c r="B95" s="4">
        <v>5</v>
      </c>
      <c r="C95" s="4">
        <v>49</v>
      </c>
      <c r="D95" s="4" t="s">
        <v>193</v>
      </c>
      <c r="E95" s="4" t="s">
        <v>194</v>
      </c>
      <c r="F95" s="4" t="s">
        <v>130</v>
      </c>
    </row>
    <row r="96" spans="1:6">
      <c r="A96" s="4" t="s">
        <v>1156</v>
      </c>
      <c r="B96" s="4">
        <v>6</v>
      </c>
      <c r="C96" s="4">
        <v>113</v>
      </c>
      <c r="D96" s="4" t="s">
        <v>401</v>
      </c>
      <c r="E96" s="4" t="s">
        <v>402</v>
      </c>
      <c r="F96" s="4" t="s">
        <v>253</v>
      </c>
    </row>
    <row r="97" spans="1:6">
      <c r="A97" s="4" t="s">
        <v>1156</v>
      </c>
      <c r="B97" s="4">
        <v>7</v>
      </c>
      <c r="C97" s="4">
        <v>112</v>
      </c>
      <c r="D97" s="4" t="s">
        <v>398</v>
      </c>
      <c r="E97" s="4" t="s">
        <v>399</v>
      </c>
      <c r="F97" s="4" t="s">
        <v>253</v>
      </c>
    </row>
    <row r="98" spans="1:6">
      <c r="A98" s="4" t="s">
        <v>1156</v>
      </c>
      <c r="B98" s="4">
        <v>8</v>
      </c>
      <c r="C98" s="4">
        <v>213</v>
      </c>
      <c r="D98" s="4" t="s">
        <v>680</v>
      </c>
      <c r="E98" s="4" t="s">
        <v>681</v>
      </c>
      <c r="F98" s="4" t="s">
        <v>342</v>
      </c>
    </row>
    <row r="99" spans="1:6">
      <c r="A99" s="4" t="s">
        <v>1156</v>
      </c>
      <c r="B99" s="4">
        <v>9</v>
      </c>
      <c r="C99" s="4">
        <v>214</v>
      </c>
      <c r="D99" s="4" t="s">
        <v>683</v>
      </c>
      <c r="E99" s="4" t="s">
        <v>684</v>
      </c>
      <c r="F99" s="4" t="s">
        <v>342</v>
      </c>
    </row>
    <row r="100" spans="1:6">
      <c r="A100" s="4" t="s">
        <v>1156</v>
      </c>
      <c r="B100" s="4">
        <v>10</v>
      </c>
      <c r="C100" s="4">
        <v>215</v>
      </c>
      <c r="D100" s="4" t="s">
        <v>686</v>
      </c>
      <c r="E100" s="4" t="s">
        <v>687</v>
      </c>
      <c r="F100" s="4" t="s">
        <v>342</v>
      </c>
    </row>
    <row r="101" spans="1:6">
      <c r="A101" s="4" t="s">
        <v>1156</v>
      </c>
      <c r="B101" s="4">
        <v>11</v>
      </c>
      <c r="C101" s="4">
        <v>169</v>
      </c>
      <c r="D101" s="4" t="s">
        <v>554</v>
      </c>
      <c r="E101" s="4" t="s">
        <v>555</v>
      </c>
      <c r="F101" s="4" t="s">
        <v>556</v>
      </c>
    </row>
    <row r="102" spans="1:6">
      <c r="A102" s="4" t="s">
        <v>1156</v>
      </c>
      <c r="B102" s="4">
        <v>12</v>
      </c>
      <c r="C102" s="4">
        <v>170</v>
      </c>
      <c r="D102" s="4" t="s">
        <v>560</v>
      </c>
      <c r="E102" s="4" t="s">
        <v>561</v>
      </c>
      <c r="F102" s="4" t="s">
        <v>556</v>
      </c>
    </row>
    <row r="103" spans="1:6">
      <c r="A103" s="4" t="s">
        <v>1156</v>
      </c>
      <c r="B103" s="4">
        <v>13</v>
      </c>
      <c r="C103" s="4">
        <v>5</v>
      </c>
      <c r="D103" s="4" t="s">
        <v>43</v>
      </c>
      <c r="E103" s="4" t="s">
        <v>44</v>
      </c>
      <c r="F103" s="4" t="s">
        <v>19</v>
      </c>
    </row>
    <row r="104" spans="1:6">
      <c r="A104" s="4" t="s">
        <v>1156</v>
      </c>
      <c r="B104" s="4">
        <v>14</v>
      </c>
      <c r="C104" s="4">
        <v>20</v>
      </c>
      <c r="D104" s="4" t="s">
        <v>95</v>
      </c>
      <c r="E104" s="4" t="s">
        <v>96</v>
      </c>
      <c r="F104" s="4" t="s">
        <v>97</v>
      </c>
    </row>
    <row r="105" spans="1:6">
      <c r="A105" s="4" t="s">
        <v>1156</v>
      </c>
      <c r="B105" s="4">
        <v>15</v>
      </c>
      <c r="C105" s="4">
        <v>4</v>
      </c>
      <c r="D105" s="4" t="s">
        <v>37</v>
      </c>
      <c r="E105" s="4" t="s">
        <v>38</v>
      </c>
      <c r="F105" s="4" t="s">
        <v>19</v>
      </c>
    </row>
    <row r="106" spans="1:6">
      <c r="A106" s="4" t="s">
        <v>1156</v>
      </c>
      <c r="B106" s="4">
        <v>16</v>
      </c>
      <c r="C106" s="4">
        <v>19</v>
      </c>
      <c r="D106" s="4" t="s">
        <v>92</v>
      </c>
      <c r="E106" s="4" t="s">
        <v>93</v>
      </c>
      <c r="F106" s="4" t="s">
        <v>19</v>
      </c>
    </row>
    <row r="107" spans="1:6">
      <c r="A107" s="4" t="s">
        <v>1156</v>
      </c>
      <c r="B107" s="4">
        <v>17</v>
      </c>
      <c r="C107" s="4">
        <v>274</v>
      </c>
      <c r="D107" s="4" t="s">
        <v>844</v>
      </c>
      <c r="E107" s="4" t="s">
        <v>845</v>
      </c>
      <c r="F107" s="4" t="s">
        <v>97</v>
      </c>
    </row>
    <row r="108" spans="1:6">
      <c r="A108" s="4" t="s">
        <v>1156</v>
      </c>
      <c r="B108" s="4">
        <v>18</v>
      </c>
      <c r="C108" s="4">
        <v>275</v>
      </c>
      <c r="D108" s="4" t="s">
        <v>847</v>
      </c>
      <c r="E108" s="4" t="s">
        <v>848</v>
      </c>
      <c r="F108" s="4" t="s">
        <v>97</v>
      </c>
    </row>
    <row r="109" spans="1:6">
      <c r="A109" s="4" t="s">
        <v>1156</v>
      </c>
      <c r="B109" s="4">
        <v>19</v>
      </c>
      <c r="C109" s="4">
        <v>364</v>
      </c>
      <c r="D109" s="4" t="s">
        <v>1106</v>
      </c>
      <c r="E109" s="4" t="s">
        <v>1107</v>
      </c>
      <c r="F109" s="4" t="s">
        <v>757</v>
      </c>
    </row>
    <row r="110" spans="1:6">
      <c r="A110" s="4" t="s">
        <v>1156</v>
      </c>
      <c r="B110" s="4">
        <v>20</v>
      </c>
      <c r="C110" s="4">
        <v>153</v>
      </c>
      <c r="D110" s="4" t="s">
        <v>509</v>
      </c>
      <c r="E110" s="4" t="s">
        <v>510</v>
      </c>
      <c r="F110" s="4" t="s">
        <v>33</v>
      </c>
    </row>
    <row r="111" spans="1:6">
      <c r="A111" s="4" t="s">
        <v>1156</v>
      </c>
      <c r="B111" s="4">
        <v>21</v>
      </c>
      <c r="C111" s="4">
        <v>336</v>
      </c>
      <c r="D111" s="4" t="s">
        <v>1023</v>
      </c>
      <c r="E111" s="4" t="s">
        <v>1024</v>
      </c>
      <c r="F111" s="4" t="s">
        <v>19</v>
      </c>
    </row>
    <row r="112" spans="1:6">
      <c r="A112" s="4" t="s">
        <v>1156</v>
      </c>
      <c r="B112" s="4">
        <v>22</v>
      </c>
      <c r="C112" s="4">
        <v>172</v>
      </c>
      <c r="D112" s="4" t="s">
        <v>565</v>
      </c>
      <c r="E112" s="4" t="s">
        <v>566</v>
      </c>
      <c r="F112" s="4" t="s">
        <v>295</v>
      </c>
    </row>
    <row r="113" spans="1:6">
      <c r="A113" s="4" t="s">
        <v>1156</v>
      </c>
      <c r="B113" s="4">
        <v>23</v>
      </c>
      <c r="C113" s="4">
        <v>17</v>
      </c>
      <c r="D113" s="4" t="s">
        <v>82</v>
      </c>
      <c r="E113" s="4" t="s">
        <v>83</v>
      </c>
      <c r="F113" s="4" t="s">
        <v>78</v>
      </c>
    </row>
    <row r="114" spans="1:6">
      <c r="A114" s="4" t="s">
        <v>1156</v>
      </c>
      <c r="B114" s="4">
        <v>24</v>
      </c>
      <c r="C114" s="4">
        <v>16</v>
      </c>
      <c r="D114" s="4" t="s">
        <v>76</v>
      </c>
      <c r="E114" s="4" t="s">
        <v>77</v>
      </c>
      <c r="F114" s="4" t="s">
        <v>78</v>
      </c>
    </row>
    <row r="115" spans="1:6">
      <c r="A115" s="4" t="s">
        <v>1156</v>
      </c>
      <c r="B115" s="4">
        <v>25</v>
      </c>
      <c r="C115" s="4">
        <v>301</v>
      </c>
      <c r="D115" s="4" t="s">
        <v>925</v>
      </c>
      <c r="E115" s="4" t="s">
        <v>926</v>
      </c>
      <c r="F115" s="4" t="s">
        <v>33</v>
      </c>
    </row>
    <row r="116" spans="1:6">
      <c r="A116" s="4" t="s">
        <v>1156</v>
      </c>
      <c r="B116" s="4">
        <v>26</v>
      </c>
      <c r="C116" s="4">
        <v>15</v>
      </c>
      <c r="D116" s="4" t="s">
        <v>73</v>
      </c>
      <c r="E116" s="4" t="s">
        <v>74</v>
      </c>
      <c r="F116" s="4" t="s">
        <v>33</v>
      </c>
    </row>
    <row r="117" spans="1:6">
      <c r="A117" s="4" t="s">
        <v>1156</v>
      </c>
      <c r="B117" s="4">
        <v>27</v>
      </c>
      <c r="C117" s="4">
        <v>173</v>
      </c>
      <c r="D117" s="4" t="s">
        <v>568</v>
      </c>
      <c r="E117" s="4" t="s">
        <v>569</v>
      </c>
      <c r="F117" s="4" t="s">
        <v>267</v>
      </c>
    </row>
    <row r="118" spans="1:6">
      <c r="A118" s="4" t="s">
        <v>1156</v>
      </c>
      <c r="B118" s="4">
        <v>28</v>
      </c>
      <c r="C118" s="4">
        <v>174</v>
      </c>
      <c r="D118" s="4" t="s">
        <v>571</v>
      </c>
      <c r="E118" s="4" t="s">
        <v>572</v>
      </c>
      <c r="F118" s="4" t="s">
        <v>267</v>
      </c>
    </row>
    <row r="119" spans="1:6">
      <c r="A119" s="4" t="s">
        <v>1157</v>
      </c>
      <c r="B119" s="4">
        <v>1</v>
      </c>
      <c r="C119" s="4">
        <v>60</v>
      </c>
      <c r="D119" s="4" t="s">
        <v>229</v>
      </c>
      <c r="E119" s="4" t="s">
        <v>230</v>
      </c>
      <c r="F119" s="4" t="s">
        <v>19</v>
      </c>
    </row>
    <row r="120" spans="1:6">
      <c r="A120" s="4" t="s">
        <v>1157</v>
      </c>
      <c r="B120" s="4">
        <v>2</v>
      </c>
      <c r="C120" s="4">
        <v>59</v>
      </c>
      <c r="D120" s="4" t="s">
        <v>224</v>
      </c>
      <c r="E120" s="4" t="s">
        <v>225</v>
      </c>
      <c r="F120" s="4" t="s">
        <v>19</v>
      </c>
    </row>
    <row r="121" spans="1:6">
      <c r="A121" s="4" t="s">
        <v>1157</v>
      </c>
      <c r="B121" s="4">
        <v>3</v>
      </c>
      <c r="C121" s="4">
        <v>354</v>
      </c>
      <c r="D121" s="4" t="s">
        <v>1076</v>
      </c>
      <c r="E121" s="4" t="s">
        <v>1077</v>
      </c>
      <c r="F121" s="4" t="s">
        <v>19</v>
      </c>
    </row>
    <row r="122" spans="1:6">
      <c r="A122" s="4" t="s">
        <v>1157</v>
      </c>
      <c r="B122" s="4">
        <v>4</v>
      </c>
      <c r="C122" s="4">
        <v>83</v>
      </c>
      <c r="D122" s="4" t="s">
        <v>314</v>
      </c>
      <c r="E122" s="4" t="s">
        <v>315</v>
      </c>
      <c r="F122" s="4" t="s">
        <v>19</v>
      </c>
    </row>
    <row r="123" spans="1:6">
      <c r="A123" s="4" t="s">
        <v>1157</v>
      </c>
      <c r="B123" s="4">
        <v>5</v>
      </c>
      <c r="C123" s="4">
        <v>2</v>
      </c>
      <c r="D123" s="4" t="s">
        <v>25</v>
      </c>
      <c r="E123" s="4" t="s">
        <v>26</v>
      </c>
      <c r="F123" s="4" t="s">
        <v>28</v>
      </c>
    </row>
    <row r="124" spans="1:6">
      <c r="A124" s="4" t="s">
        <v>1157</v>
      </c>
      <c r="B124" s="4">
        <v>6</v>
      </c>
      <c r="C124" s="4">
        <v>286</v>
      </c>
      <c r="D124" s="4" t="s">
        <v>881</v>
      </c>
      <c r="E124" s="4" t="s">
        <v>882</v>
      </c>
      <c r="F124" s="4" t="s">
        <v>100</v>
      </c>
    </row>
    <row r="125" spans="1:6">
      <c r="A125" s="4" t="s">
        <v>1157</v>
      </c>
      <c r="B125" s="4">
        <v>7</v>
      </c>
      <c r="C125" s="4">
        <v>110</v>
      </c>
      <c r="D125" s="4" t="s">
        <v>392</v>
      </c>
      <c r="E125" s="4" t="s">
        <v>393</v>
      </c>
      <c r="F125" s="4" t="s">
        <v>253</v>
      </c>
    </row>
    <row r="126" spans="1:6">
      <c r="A126" s="4" t="s">
        <v>1157</v>
      </c>
      <c r="B126" s="4">
        <v>8</v>
      </c>
      <c r="C126" s="4">
        <v>187</v>
      </c>
      <c r="D126" s="4" t="s">
        <v>610</v>
      </c>
      <c r="E126" s="4" t="s">
        <v>611</v>
      </c>
      <c r="F126" s="4" t="s">
        <v>17</v>
      </c>
    </row>
    <row r="127" spans="1:6">
      <c r="A127" s="4" t="s">
        <v>1157</v>
      </c>
      <c r="B127" s="4">
        <v>9</v>
      </c>
      <c r="C127" s="4">
        <v>34</v>
      </c>
      <c r="D127" s="4" t="s">
        <v>141</v>
      </c>
      <c r="E127" s="4" t="s">
        <v>142</v>
      </c>
      <c r="F127" s="4" t="s">
        <v>19</v>
      </c>
    </row>
    <row r="128" spans="1:6">
      <c r="A128" s="4" t="s">
        <v>1157</v>
      </c>
      <c r="B128" s="4">
        <v>10</v>
      </c>
      <c r="C128" s="4">
        <v>33</v>
      </c>
      <c r="D128" s="4" t="s">
        <v>138</v>
      </c>
      <c r="E128" s="4" t="s">
        <v>139</v>
      </c>
      <c r="F128" s="4" t="s">
        <v>19</v>
      </c>
    </row>
    <row r="129" spans="1:6">
      <c r="A129" s="4" t="s">
        <v>1157</v>
      </c>
      <c r="B129" s="4">
        <v>11</v>
      </c>
      <c r="C129" s="4">
        <v>341</v>
      </c>
      <c r="D129" s="4" t="s">
        <v>1038</v>
      </c>
      <c r="E129" s="4" t="s">
        <v>1039</v>
      </c>
      <c r="F129" s="4" t="s">
        <v>19</v>
      </c>
    </row>
    <row r="130" spans="1:6">
      <c r="A130" s="4" t="s">
        <v>1157</v>
      </c>
      <c r="B130" s="4">
        <v>12</v>
      </c>
      <c r="C130" s="4">
        <v>68</v>
      </c>
      <c r="D130" s="4" t="s">
        <v>260</v>
      </c>
      <c r="E130" s="4" t="s">
        <v>261</v>
      </c>
      <c r="F130" s="4" t="s">
        <v>19</v>
      </c>
    </row>
    <row r="131" spans="1:6">
      <c r="A131" s="4" t="s">
        <v>1157</v>
      </c>
      <c r="B131" s="4">
        <v>13</v>
      </c>
      <c r="C131" s="4">
        <v>208</v>
      </c>
      <c r="D131" s="4" t="s">
        <v>665</v>
      </c>
      <c r="E131" s="4" t="s">
        <v>666</v>
      </c>
      <c r="F131" s="4" t="s">
        <v>19</v>
      </c>
    </row>
    <row r="132" spans="1:6">
      <c r="A132" s="4" t="s">
        <v>1157</v>
      </c>
      <c r="B132" s="4">
        <v>14</v>
      </c>
      <c r="C132" s="4">
        <v>276</v>
      </c>
      <c r="D132" s="4" t="s">
        <v>850</v>
      </c>
      <c r="E132" s="4" t="s">
        <v>851</v>
      </c>
      <c r="F132" s="4" t="s">
        <v>97</v>
      </c>
    </row>
    <row r="133" spans="1:6">
      <c r="A133" s="4" t="s">
        <v>1157</v>
      </c>
      <c r="B133" s="4">
        <v>15</v>
      </c>
      <c r="C133" s="4">
        <v>311</v>
      </c>
      <c r="D133" s="4" t="s">
        <v>952</v>
      </c>
      <c r="E133" s="4" t="s">
        <v>953</v>
      </c>
      <c r="F133" s="4" t="s">
        <v>97</v>
      </c>
    </row>
    <row r="134" spans="1:6">
      <c r="A134" s="4" t="s">
        <v>1157</v>
      </c>
      <c r="B134" s="4">
        <v>16</v>
      </c>
      <c r="C134" s="4">
        <v>312</v>
      </c>
      <c r="D134" s="4" t="s">
        <v>955</v>
      </c>
      <c r="E134" s="4" t="s">
        <v>956</v>
      </c>
      <c r="F134" s="4" t="s">
        <v>97</v>
      </c>
    </row>
    <row r="135" spans="1:6">
      <c r="A135" s="4" t="s">
        <v>1158</v>
      </c>
      <c r="B135" s="4">
        <v>1</v>
      </c>
      <c r="C135" s="4">
        <v>186</v>
      </c>
      <c r="D135" s="4" t="s">
        <v>607</v>
      </c>
      <c r="E135" s="4" t="s">
        <v>608</v>
      </c>
      <c r="F135" s="4" t="s">
        <v>603</v>
      </c>
    </row>
    <row r="136" spans="1:6">
      <c r="A136" s="4" t="s">
        <v>1158</v>
      </c>
      <c r="B136" s="4">
        <v>2</v>
      </c>
      <c r="C136" s="4">
        <v>185</v>
      </c>
      <c r="D136" s="4" t="s">
        <v>601</v>
      </c>
      <c r="E136" s="4" t="s">
        <v>602</v>
      </c>
      <c r="F136" s="4" t="s">
        <v>603</v>
      </c>
    </row>
    <row r="137" spans="1:6" ht="27.6">
      <c r="A137" s="4" t="s">
        <v>1158</v>
      </c>
      <c r="B137" s="4">
        <v>3</v>
      </c>
      <c r="C137" s="4">
        <v>145</v>
      </c>
      <c r="D137" s="4" t="s">
        <v>492</v>
      </c>
      <c r="E137" s="4" t="s">
        <v>493</v>
      </c>
      <c r="F137" s="4" t="s">
        <v>19</v>
      </c>
    </row>
    <row r="138" spans="1:6">
      <c r="A138" s="4" t="s">
        <v>1158</v>
      </c>
      <c r="B138" s="4">
        <v>4</v>
      </c>
      <c r="C138" s="4">
        <v>144</v>
      </c>
      <c r="D138" s="4" t="s">
        <v>489</v>
      </c>
      <c r="E138" s="4" t="s">
        <v>490</v>
      </c>
      <c r="F138" s="4" t="s">
        <v>19</v>
      </c>
    </row>
    <row r="139" spans="1:6">
      <c r="A139" s="4" t="s">
        <v>1158</v>
      </c>
      <c r="B139" s="4">
        <v>5</v>
      </c>
      <c r="C139" s="4">
        <v>48</v>
      </c>
      <c r="D139" s="4" t="s">
        <v>190</v>
      </c>
      <c r="E139" s="4" t="s">
        <v>191</v>
      </c>
      <c r="F139" s="4" t="s">
        <v>130</v>
      </c>
    </row>
    <row r="140" spans="1:6">
      <c r="A140" s="4" t="s">
        <v>1158</v>
      </c>
      <c r="B140" s="4">
        <v>6</v>
      </c>
      <c r="C140" s="4">
        <v>47</v>
      </c>
      <c r="D140" s="4" t="s">
        <v>187</v>
      </c>
      <c r="E140" s="4" t="s">
        <v>188</v>
      </c>
      <c r="F140" s="4" t="s">
        <v>130</v>
      </c>
    </row>
    <row r="141" spans="1:6">
      <c r="A141" s="4" t="s">
        <v>1158</v>
      </c>
      <c r="B141" s="4">
        <v>7</v>
      </c>
      <c r="C141" s="4">
        <v>41</v>
      </c>
      <c r="D141" s="4" t="s">
        <v>163</v>
      </c>
      <c r="E141" s="4" t="s">
        <v>164</v>
      </c>
      <c r="F141" s="4" t="s">
        <v>165</v>
      </c>
    </row>
    <row r="142" spans="1:6">
      <c r="A142" s="4" t="s">
        <v>1158</v>
      </c>
      <c r="B142" s="4">
        <v>8</v>
      </c>
      <c r="C142" s="4">
        <v>24</v>
      </c>
      <c r="D142" s="4" t="s">
        <v>110</v>
      </c>
      <c r="E142" s="4" t="s">
        <v>111</v>
      </c>
      <c r="F142" s="4" t="s">
        <v>19</v>
      </c>
    </row>
    <row r="143" spans="1:6">
      <c r="A143" s="4" t="s">
        <v>1158</v>
      </c>
      <c r="B143" s="4">
        <v>9</v>
      </c>
      <c r="C143" s="4">
        <v>23</v>
      </c>
      <c r="D143" s="4" t="s">
        <v>107</v>
      </c>
      <c r="E143" s="4" t="s">
        <v>108</v>
      </c>
      <c r="F143" s="4" t="s">
        <v>19</v>
      </c>
    </row>
    <row r="144" spans="1:6">
      <c r="A144" s="4" t="s">
        <v>1158</v>
      </c>
      <c r="B144" s="4">
        <v>10</v>
      </c>
      <c r="C144" s="4">
        <v>22</v>
      </c>
      <c r="D144" s="4" t="s">
        <v>104</v>
      </c>
      <c r="E144" s="4" t="s">
        <v>105</v>
      </c>
      <c r="F144" s="4" t="s">
        <v>19</v>
      </c>
    </row>
    <row r="145" spans="1:6">
      <c r="A145" s="4" t="s">
        <v>1158</v>
      </c>
      <c r="B145" s="4">
        <v>11</v>
      </c>
      <c r="C145" s="4">
        <v>137</v>
      </c>
      <c r="D145" s="4" t="s">
        <v>469</v>
      </c>
      <c r="E145" s="4" t="s">
        <v>470</v>
      </c>
      <c r="F145" s="4" t="s">
        <v>19</v>
      </c>
    </row>
    <row r="146" spans="1:6">
      <c r="A146" s="4" t="s">
        <v>1158</v>
      </c>
      <c r="B146" s="4">
        <v>12</v>
      </c>
      <c r="C146" s="4">
        <v>291</v>
      </c>
      <c r="D146" s="4" t="s">
        <v>899</v>
      </c>
      <c r="E146" s="4" t="s">
        <v>900</v>
      </c>
      <c r="F146" s="4" t="s">
        <v>19</v>
      </c>
    </row>
    <row r="147" spans="1:6">
      <c r="A147" s="4" t="s">
        <v>1158</v>
      </c>
      <c r="B147" s="4">
        <v>13</v>
      </c>
      <c r="C147" s="4">
        <v>292</v>
      </c>
      <c r="D147" s="4" t="s">
        <v>902</v>
      </c>
      <c r="E147" s="4" t="s">
        <v>903</v>
      </c>
      <c r="F147" s="4" t="s">
        <v>19</v>
      </c>
    </row>
    <row r="148" spans="1:6">
      <c r="A148" s="4" t="s">
        <v>1158</v>
      </c>
      <c r="B148" s="4">
        <v>14</v>
      </c>
      <c r="C148" s="4">
        <v>293</v>
      </c>
      <c r="D148" s="4" t="s">
        <v>905</v>
      </c>
      <c r="E148" s="4" t="s">
        <v>906</v>
      </c>
      <c r="F148" s="4" t="s">
        <v>19</v>
      </c>
    </row>
    <row r="149" spans="1:6">
      <c r="A149" s="4" t="s">
        <v>1158</v>
      </c>
      <c r="B149" s="4">
        <v>15</v>
      </c>
      <c r="C149" s="4">
        <v>242</v>
      </c>
      <c r="D149" s="4" t="s">
        <v>755</v>
      </c>
      <c r="E149" s="4" t="s">
        <v>756</v>
      </c>
      <c r="F149" s="4" t="s">
        <v>757</v>
      </c>
    </row>
    <row r="150" spans="1:6">
      <c r="A150" s="4" t="s">
        <v>1158</v>
      </c>
      <c r="B150" s="4">
        <v>16</v>
      </c>
      <c r="C150" s="4">
        <v>134</v>
      </c>
      <c r="D150" s="4" t="s">
        <v>460</v>
      </c>
      <c r="E150" s="4" t="s">
        <v>461</v>
      </c>
      <c r="F150" s="4" t="s">
        <v>33</v>
      </c>
    </row>
    <row r="151" spans="1:6">
      <c r="A151" s="4" t="s">
        <v>1159</v>
      </c>
      <c r="B151" s="4">
        <v>1</v>
      </c>
      <c r="C151" s="4">
        <v>182</v>
      </c>
      <c r="D151" s="4" t="s">
        <v>592</v>
      </c>
      <c r="E151" s="4" t="s">
        <v>593</v>
      </c>
      <c r="F151" s="4" t="s">
        <v>267</v>
      </c>
    </row>
    <row r="152" spans="1:6">
      <c r="A152" s="4" t="s">
        <v>1159</v>
      </c>
      <c r="B152" s="4">
        <v>2</v>
      </c>
      <c r="C152" s="4">
        <v>181</v>
      </c>
      <c r="D152" s="4" t="s">
        <v>589</v>
      </c>
      <c r="E152" s="4" t="s">
        <v>590</v>
      </c>
      <c r="F152" s="4" t="s">
        <v>267</v>
      </c>
    </row>
    <row r="153" spans="1:6">
      <c r="A153" s="4" t="s">
        <v>1159</v>
      </c>
      <c r="B153" s="4">
        <v>3</v>
      </c>
      <c r="C153" s="4">
        <v>305</v>
      </c>
      <c r="D153" s="4" t="s">
        <v>934</v>
      </c>
      <c r="E153" s="4" t="s">
        <v>935</v>
      </c>
      <c r="F153" s="4" t="s">
        <v>936</v>
      </c>
    </row>
    <row r="154" spans="1:6">
      <c r="A154" s="4" t="s">
        <v>1159</v>
      </c>
      <c r="B154" s="4">
        <v>4</v>
      </c>
      <c r="C154" s="4">
        <v>283</v>
      </c>
      <c r="D154" s="4" t="s">
        <v>873</v>
      </c>
      <c r="E154" s="4" t="s">
        <v>874</v>
      </c>
      <c r="F154" s="4" t="s">
        <v>19</v>
      </c>
    </row>
    <row r="155" spans="1:6">
      <c r="A155" s="4" t="s">
        <v>1159</v>
      </c>
      <c r="B155" s="4">
        <v>5</v>
      </c>
      <c r="C155" s="4">
        <v>196</v>
      </c>
      <c r="D155" s="4" t="s">
        <v>632</v>
      </c>
      <c r="E155" s="4" t="s">
        <v>633</v>
      </c>
      <c r="F155" s="4" t="s">
        <v>17</v>
      </c>
    </row>
    <row r="156" spans="1:6">
      <c r="A156" s="4" t="s">
        <v>1159</v>
      </c>
      <c r="B156" s="4">
        <v>6</v>
      </c>
      <c r="C156" s="4">
        <v>95</v>
      </c>
      <c r="D156" s="4" t="s">
        <v>350</v>
      </c>
      <c r="E156" s="4" t="s">
        <v>351</v>
      </c>
      <c r="F156" s="4" t="s">
        <v>165</v>
      </c>
    </row>
    <row r="157" spans="1:6">
      <c r="A157" s="4" t="s">
        <v>1159</v>
      </c>
      <c r="B157" s="4">
        <v>7</v>
      </c>
      <c r="C157" s="4">
        <v>94</v>
      </c>
      <c r="D157" s="4" t="s">
        <v>347</v>
      </c>
      <c r="E157" s="4" t="s">
        <v>348</v>
      </c>
      <c r="F157" s="4" t="s">
        <v>165</v>
      </c>
    </row>
    <row r="158" spans="1:6">
      <c r="A158" s="4" t="s">
        <v>1159</v>
      </c>
      <c r="B158" s="4">
        <v>8</v>
      </c>
      <c r="C158" s="4">
        <v>109</v>
      </c>
      <c r="D158" s="4" t="s">
        <v>389</v>
      </c>
      <c r="E158" s="4" t="s">
        <v>390</v>
      </c>
      <c r="F158" s="4" t="s">
        <v>253</v>
      </c>
    </row>
    <row r="159" spans="1:6">
      <c r="A159" s="4" t="s">
        <v>1159</v>
      </c>
      <c r="B159" s="4">
        <v>9</v>
      </c>
      <c r="C159" s="4">
        <v>343</v>
      </c>
      <c r="D159" s="4" t="s">
        <v>1044</v>
      </c>
      <c r="E159" s="4" t="s">
        <v>1045</v>
      </c>
      <c r="F159" s="4" t="s">
        <v>33</v>
      </c>
    </row>
    <row r="160" spans="1:6">
      <c r="A160" s="4" t="s">
        <v>1159</v>
      </c>
      <c r="B160" s="4">
        <v>10</v>
      </c>
      <c r="C160" s="4">
        <v>89</v>
      </c>
      <c r="D160" s="4" t="s">
        <v>331</v>
      </c>
      <c r="E160" s="4" t="s">
        <v>332</v>
      </c>
      <c r="F160" s="4" t="s">
        <v>28</v>
      </c>
    </row>
    <row r="161" spans="1:6">
      <c r="A161" s="4" t="s">
        <v>1159</v>
      </c>
      <c r="B161" s="4">
        <v>11</v>
      </c>
      <c r="C161" s="4">
        <v>88</v>
      </c>
      <c r="D161" s="4" t="s">
        <v>328</v>
      </c>
      <c r="E161" s="4" t="s">
        <v>329</v>
      </c>
      <c r="F161" s="4" t="s">
        <v>28</v>
      </c>
    </row>
    <row r="162" spans="1:6">
      <c r="A162" s="4" t="s">
        <v>1159</v>
      </c>
      <c r="B162" s="4">
        <v>12</v>
      </c>
      <c r="C162" s="4">
        <v>87</v>
      </c>
      <c r="D162" s="4" t="s">
        <v>325</v>
      </c>
      <c r="E162" s="4" t="s">
        <v>326</v>
      </c>
      <c r="F162" s="4" t="s">
        <v>253</v>
      </c>
    </row>
    <row r="163" spans="1:6">
      <c r="A163" s="4" t="s">
        <v>1159</v>
      </c>
      <c r="B163" s="4">
        <v>13</v>
      </c>
      <c r="C163" s="4">
        <v>204</v>
      </c>
      <c r="D163" s="4" t="s">
        <v>656</v>
      </c>
      <c r="E163" s="4" t="s">
        <v>657</v>
      </c>
      <c r="F163" s="4" t="s">
        <v>28</v>
      </c>
    </row>
    <row r="164" spans="1:6">
      <c r="A164" s="4" t="s">
        <v>1160</v>
      </c>
      <c r="B164" s="4">
        <v>1</v>
      </c>
      <c r="C164" s="4">
        <v>203</v>
      </c>
      <c r="D164" s="4" t="s">
        <v>653</v>
      </c>
      <c r="E164" s="4" t="s">
        <v>654</v>
      </c>
      <c r="F164" s="4" t="s">
        <v>19</v>
      </c>
    </row>
    <row r="165" spans="1:6">
      <c r="A165" s="4" t="s">
        <v>1160</v>
      </c>
      <c r="B165" s="4">
        <v>2</v>
      </c>
      <c r="C165" s="4">
        <v>202</v>
      </c>
      <c r="D165" s="4" t="s">
        <v>650</v>
      </c>
      <c r="E165" s="4" t="s">
        <v>651</v>
      </c>
      <c r="F165" s="4" t="s">
        <v>19</v>
      </c>
    </row>
    <row r="166" spans="1:6">
      <c r="A166" s="4" t="s">
        <v>1160</v>
      </c>
      <c r="B166" s="4">
        <v>3</v>
      </c>
      <c r="C166" s="4">
        <v>74</v>
      </c>
      <c r="D166" s="4" t="s">
        <v>284</v>
      </c>
      <c r="E166" s="4" t="s">
        <v>285</v>
      </c>
      <c r="F166" s="4" t="s">
        <v>19</v>
      </c>
    </row>
    <row r="167" spans="1:6">
      <c r="A167" s="4" t="s">
        <v>1160</v>
      </c>
      <c r="B167" s="4">
        <v>4</v>
      </c>
      <c r="C167" s="4">
        <v>12</v>
      </c>
      <c r="D167" s="4" t="s">
        <v>64</v>
      </c>
      <c r="E167" s="4" t="s">
        <v>65</v>
      </c>
      <c r="F167" s="4" t="s">
        <v>19</v>
      </c>
    </row>
    <row r="168" spans="1:6">
      <c r="A168" s="4" t="s">
        <v>1160</v>
      </c>
      <c r="B168" s="4">
        <v>5</v>
      </c>
      <c r="C168" s="4">
        <v>71</v>
      </c>
      <c r="D168" s="4" t="s">
        <v>272</v>
      </c>
      <c r="E168" s="4" t="s">
        <v>273</v>
      </c>
      <c r="F168" s="4" t="s">
        <v>33</v>
      </c>
    </row>
    <row r="169" spans="1:6">
      <c r="A169" s="4" t="s">
        <v>1160</v>
      </c>
      <c r="B169" s="4">
        <v>6</v>
      </c>
      <c r="C169" s="4">
        <v>35</v>
      </c>
      <c r="D169" s="4" t="s">
        <v>144</v>
      </c>
      <c r="E169" s="4" t="s">
        <v>145</v>
      </c>
      <c r="F169" s="4" t="s">
        <v>146</v>
      </c>
    </row>
    <row r="170" spans="1:6">
      <c r="A170" s="4" t="s">
        <v>1161</v>
      </c>
      <c r="B170" s="4">
        <v>1</v>
      </c>
      <c r="C170" s="4">
        <v>217</v>
      </c>
      <c r="D170" s="4" t="s">
        <v>692</v>
      </c>
      <c r="E170" s="4" t="s">
        <v>693</v>
      </c>
      <c r="F170" s="4" t="s">
        <v>19</v>
      </c>
    </row>
    <row r="171" spans="1:6">
      <c r="A171" s="4" t="s">
        <v>1161</v>
      </c>
      <c r="B171" s="4">
        <v>2</v>
      </c>
      <c r="C171" s="4">
        <v>284</v>
      </c>
      <c r="D171" s="4" t="s">
        <v>876</v>
      </c>
      <c r="E171" s="4" t="s">
        <v>877</v>
      </c>
      <c r="F171" s="4" t="s">
        <v>19</v>
      </c>
    </row>
    <row r="172" spans="1:6">
      <c r="A172" s="4" t="s">
        <v>1161</v>
      </c>
      <c r="B172" s="4">
        <v>3</v>
      </c>
      <c r="C172" s="4">
        <v>313</v>
      </c>
      <c r="D172" s="4" t="s">
        <v>958</v>
      </c>
      <c r="E172" s="4" t="s">
        <v>959</v>
      </c>
      <c r="F172" s="4" t="s">
        <v>97</v>
      </c>
    </row>
    <row r="173" spans="1:6">
      <c r="A173" s="4" t="s">
        <v>1161</v>
      </c>
      <c r="B173" s="4">
        <v>4</v>
      </c>
      <c r="C173" s="4">
        <v>163</v>
      </c>
      <c r="D173" s="4" t="s">
        <v>537</v>
      </c>
      <c r="E173" s="4" t="s">
        <v>538</v>
      </c>
      <c r="F173" s="4" t="s">
        <v>523</v>
      </c>
    </row>
    <row r="174" spans="1:6">
      <c r="A174" s="4" t="s">
        <v>1161</v>
      </c>
      <c r="B174" s="4">
        <v>5</v>
      </c>
      <c r="C174" s="4">
        <v>265</v>
      </c>
      <c r="D174" s="4" t="s">
        <v>812</v>
      </c>
      <c r="E174" s="4" t="s">
        <v>813</v>
      </c>
      <c r="F174" s="4" t="s">
        <v>19</v>
      </c>
    </row>
    <row r="175" spans="1:6">
      <c r="A175" s="4" t="s">
        <v>1161</v>
      </c>
      <c r="B175" s="4">
        <v>6</v>
      </c>
      <c r="C175" s="4">
        <v>248</v>
      </c>
      <c r="D175" s="4" t="s">
        <v>773</v>
      </c>
      <c r="E175" s="4" t="s">
        <v>774</v>
      </c>
      <c r="F175" s="4" t="s">
        <v>603</v>
      </c>
    </row>
    <row r="176" spans="1:6">
      <c r="A176" s="4" t="s">
        <v>1162</v>
      </c>
      <c r="B176" s="4">
        <v>1</v>
      </c>
      <c r="C176" s="4">
        <v>298</v>
      </c>
      <c r="D176" s="4" t="s">
        <v>916</v>
      </c>
      <c r="E176" s="4" t="s">
        <v>917</v>
      </c>
      <c r="F176" s="4" t="s">
        <v>33</v>
      </c>
    </row>
    <row r="177" spans="1:6">
      <c r="A177" s="4" t="s">
        <v>1162</v>
      </c>
      <c r="B177" s="4">
        <v>2</v>
      </c>
      <c r="C177" s="4">
        <v>235</v>
      </c>
      <c r="D177" s="4" t="s">
        <v>736</v>
      </c>
      <c r="E177" s="4" t="s">
        <v>737</v>
      </c>
      <c r="F177" s="4" t="s">
        <v>342</v>
      </c>
    </row>
    <row r="178" spans="1:6">
      <c r="A178" s="4" t="s">
        <v>1162</v>
      </c>
      <c r="B178" s="4">
        <v>3</v>
      </c>
      <c r="C178" s="4">
        <v>180</v>
      </c>
      <c r="D178" s="4" t="s">
        <v>586</v>
      </c>
      <c r="E178" s="4" t="s">
        <v>587</v>
      </c>
      <c r="F178" s="4" t="s">
        <v>267</v>
      </c>
    </row>
    <row r="179" spans="1:6">
      <c r="A179" s="4" t="s">
        <v>1162</v>
      </c>
      <c r="B179" s="4">
        <v>4</v>
      </c>
      <c r="C179" s="4">
        <v>195</v>
      </c>
      <c r="D179" s="4" t="s">
        <v>629</v>
      </c>
      <c r="E179" s="4" t="s">
        <v>630</v>
      </c>
      <c r="F179" s="4" t="s">
        <v>253</v>
      </c>
    </row>
    <row r="180" spans="1:6">
      <c r="A180" s="4" t="s">
        <v>1163</v>
      </c>
      <c r="B180" s="4">
        <v>1</v>
      </c>
      <c r="C180" s="4">
        <v>268</v>
      </c>
      <c r="D180" s="4" t="s">
        <v>823</v>
      </c>
      <c r="E180" s="4" t="s">
        <v>824</v>
      </c>
      <c r="F180" s="4" t="s">
        <v>342</v>
      </c>
    </row>
    <row r="181" spans="1:6">
      <c r="A181" s="4" t="s">
        <v>1163</v>
      </c>
      <c r="B181" s="4">
        <v>2</v>
      </c>
      <c r="C181" s="4">
        <v>167</v>
      </c>
      <c r="D181" s="4" t="s">
        <v>548</v>
      </c>
      <c r="E181" s="4" t="s">
        <v>549</v>
      </c>
      <c r="F181" s="4" t="s">
        <v>19</v>
      </c>
    </row>
    <row r="182" spans="1:6">
      <c r="A182" s="4" t="s">
        <v>1163</v>
      </c>
      <c r="B182" s="4">
        <v>3</v>
      </c>
      <c r="C182" s="4">
        <v>44</v>
      </c>
      <c r="D182" s="4" t="s">
        <v>175</v>
      </c>
      <c r="E182" s="4" t="s">
        <v>176</v>
      </c>
      <c r="F182" s="4" t="s">
        <v>55</v>
      </c>
    </row>
    <row r="183" spans="1:6">
      <c r="A183" s="4" t="s">
        <v>1163</v>
      </c>
      <c r="B183" s="4">
        <v>4</v>
      </c>
      <c r="C183" s="4">
        <v>211</v>
      </c>
      <c r="D183" s="4" t="s">
        <v>674</v>
      </c>
      <c r="E183" s="4" t="s">
        <v>675</v>
      </c>
      <c r="F183" s="4" t="s">
        <v>267</v>
      </c>
    </row>
    <row r="184" spans="1:6">
      <c r="A184" s="4" t="s">
        <v>1164</v>
      </c>
      <c r="B184" s="4">
        <v>1</v>
      </c>
      <c r="C184" s="4">
        <v>105</v>
      </c>
      <c r="D184" s="4" t="s">
        <v>377</v>
      </c>
      <c r="E184" s="4" t="s">
        <v>378</v>
      </c>
      <c r="F184" s="4" t="s">
        <v>19</v>
      </c>
    </row>
    <row r="185" spans="1:6">
      <c r="A185" s="4" t="s">
        <v>1164</v>
      </c>
      <c r="B185" s="4">
        <v>2</v>
      </c>
      <c r="C185" s="4">
        <v>104</v>
      </c>
      <c r="D185" s="4" t="s">
        <v>374</v>
      </c>
      <c r="E185" s="4" t="s">
        <v>375</v>
      </c>
      <c r="F185" s="4" t="s">
        <v>19</v>
      </c>
    </row>
    <row r="186" spans="1:6">
      <c r="A186" s="4" t="s">
        <v>1164</v>
      </c>
      <c r="B186" s="4">
        <v>3</v>
      </c>
      <c r="C186" s="4">
        <v>70</v>
      </c>
      <c r="D186" s="4" t="s">
        <v>269</v>
      </c>
      <c r="E186" s="4" t="s">
        <v>270</v>
      </c>
      <c r="F186" s="4" t="s">
        <v>267</v>
      </c>
    </row>
    <row r="187" spans="1:6">
      <c r="A187" s="4" t="s">
        <v>1164</v>
      </c>
      <c r="B187" s="4">
        <v>4</v>
      </c>
      <c r="C187" s="4">
        <v>69</v>
      </c>
      <c r="D187" s="4" t="s">
        <v>265</v>
      </c>
      <c r="E187" s="4" t="s">
        <v>266</v>
      </c>
      <c r="F187" s="4" t="s">
        <v>267</v>
      </c>
    </row>
    <row r="188" spans="1:6">
      <c r="A188" s="4" t="s">
        <v>1164</v>
      </c>
      <c r="B188" s="4">
        <v>5</v>
      </c>
      <c r="C188" s="4">
        <v>136</v>
      </c>
      <c r="D188" s="4" t="s">
        <v>466</v>
      </c>
      <c r="E188" s="4" t="s">
        <v>467</v>
      </c>
      <c r="F188" s="4" t="s">
        <v>33</v>
      </c>
    </row>
    <row r="189" spans="1:6">
      <c r="A189" s="4" t="s">
        <v>1165</v>
      </c>
      <c r="B189" s="4">
        <v>1</v>
      </c>
      <c r="C189" s="4">
        <v>315</v>
      </c>
      <c r="D189" s="4" t="s">
        <v>964</v>
      </c>
      <c r="E189" s="4" t="s">
        <v>965</v>
      </c>
      <c r="F189" s="4" t="s">
        <v>19</v>
      </c>
    </row>
    <row r="190" spans="1:6">
      <c r="A190" s="4" t="s">
        <v>1165</v>
      </c>
      <c r="B190" s="4">
        <v>2</v>
      </c>
      <c r="C190" s="4">
        <v>123</v>
      </c>
      <c r="D190" s="4" t="s">
        <v>431</v>
      </c>
      <c r="E190" s="4" t="s">
        <v>432</v>
      </c>
      <c r="F190" s="4" t="s">
        <v>253</v>
      </c>
    </row>
    <row r="191" spans="1:6">
      <c r="A191" s="4" t="s">
        <v>1165</v>
      </c>
      <c r="B191" s="4">
        <v>3</v>
      </c>
      <c r="C191" s="4">
        <v>262</v>
      </c>
      <c r="D191" s="4" t="s">
        <v>805</v>
      </c>
      <c r="E191" s="4" t="s">
        <v>806</v>
      </c>
      <c r="F191" s="4" t="s">
        <v>603</v>
      </c>
    </row>
    <row r="192" spans="1:6">
      <c r="A192" s="4" t="s">
        <v>1166</v>
      </c>
      <c r="B192" s="4">
        <v>1</v>
      </c>
      <c r="C192" s="4">
        <v>201</v>
      </c>
      <c r="D192" s="4" t="s">
        <v>647</v>
      </c>
      <c r="E192" s="4" t="s">
        <v>648</v>
      </c>
      <c r="F192" s="4" t="s">
        <v>28</v>
      </c>
    </row>
    <row r="193" spans="1:6">
      <c r="A193" s="4" t="s">
        <v>1166</v>
      </c>
      <c r="B193" s="4">
        <v>2</v>
      </c>
      <c r="C193" s="4">
        <v>200</v>
      </c>
      <c r="D193" s="4" t="s">
        <v>644</v>
      </c>
      <c r="E193" s="4" t="s">
        <v>645</v>
      </c>
      <c r="F193" s="4" t="s">
        <v>28</v>
      </c>
    </row>
    <row r="194" spans="1:6">
      <c r="A194" s="4" t="s">
        <v>1166</v>
      </c>
      <c r="B194" s="4">
        <v>3</v>
      </c>
      <c r="C194" s="4">
        <v>57</v>
      </c>
      <c r="D194" s="4" t="s">
        <v>218</v>
      </c>
      <c r="E194" s="4" t="s">
        <v>219</v>
      </c>
      <c r="F194" s="4" t="s">
        <v>33</v>
      </c>
    </row>
    <row r="195" spans="1:6">
      <c r="A195" s="4" t="s">
        <v>1166</v>
      </c>
      <c r="B195" s="4">
        <v>4</v>
      </c>
      <c r="C195" s="4">
        <v>166</v>
      </c>
      <c r="D195" s="4" t="s">
        <v>545</v>
      </c>
      <c r="E195" s="4" t="s">
        <v>546</v>
      </c>
      <c r="F195" s="4" t="s">
        <v>33</v>
      </c>
    </row>
    <row r="196" spans="1:6">
      <c r="A196" s="4" t="s">
        <v>1166</v>
      </c>
      <c r="B196" s="4">
        <v>5</v>
      </c>
      <c r="C196" s="4">
        <v>143</v>
      </c>
      <c r="D196" s="4" t="s">
        <v>485</v>
      </c>
      <c r="E196" s="4" t="s">
        <v>486</v>
      </c>
      <c r="F196" s="4" t="s">
        <v>487</v>
      </c>
    </row>
    <row r="197" spans="1:6">
      <c r="A197" s="4" t="s">
        <v>1166</v>
      </c>
      <c r="B197" s="4">
        <v>6</v>
      </c>
      <c r="C197" s="4">
        <v>259</v>
      </c>
      <c r="D197" s="4" t="s">
        <v>798</v>
      </c>
      <c r="E197" s="4" t="s">
        <v>799</v>
      </c>
      <c r="F197" s="4" t="s">
        <v>267</v>
      </c>
    </row>
    <row r="198" spans="1:6">
      <c r="A198" s="4" t="s">
        <v>1167</v>
      </c>
      <c r="B198" s="4">
        <v>1</v>
      </c>
      <c r="C198" s="4">
        <v>299</v>
      </c>
      <c r="D198" s="4" t="s">
        <v>919</v>
      </c>
      <c r="E198" s="4" t="s">
        <v>920</v>
      </c>
      <c r="F198" s="4" t="s">
        <v>33</v>
      </c>
    </row>
    <row r="199" spans="1:6">
      <c r="A199" s="4" t="s">
        <v>1167</v>
      </c>
      <c r="B199" s="4">
        <v>2</v>
      </c>
      <c r="C199" s="4">
        <v>183</v>
      </c>
      <c r="D199" s="4" t="s">
        <v>595</v>
      </c>
      <c r="E199" s="4" t="s">
        <v>596</v>
      </c>
      <c r="F199" s="4" t="s">
        <v>267</v>
      </c>
    </row>
    <row r="200" spans="1:6">
      <c r="A200" s="4" t="s">
        <v>1167</v>
      </c>
      <c r="B200" s="4">
        <v>3</v>
      </c>
      <c r="C200" s="4">
        <v>279</v>
      </c>
      <c r="D200" s="4" t="s">
        <v>861</v>
      </c>
      <c r="E200" s="4" t="s">
        <v>862</v>
      </c>
      <c r="F200" s="4" t="s">
        <v>253</v>
      </c>
    </row>
    <row r="201" spans="1:6">
      <c r="A201" s="4" t="s">
        <v>1167</v>
      </c>
      <c r="B201" s="4">
        <v>4</v>
      </c>
      <c r="C201" s="4">
        <v>281</v>
      </c>
      <c r="D201" s="4" t="s">
        <v>867</v>
      </c>
      <c r="E201" s="4" t="s">
        <v>868</v>
      </c>
      <c r="F201" s="4" t="s">
        <v>253</v>
      </c>
    </row>
    <row r="202" spans="1:6">
      <c r="A202" s="4" t="s">
        <v>1168</v>
      </c>
      <c r="B202" s="4">
        <v>1</v>
      </c>
      <c r="C202" s="4">
        <v>165</v>
      </c>
      <c r="D202" s="4" t="s">
        <v>542</v>
      </c>
      <c r="E202" s="4" t="s">
        <v>543</v>
      </c>
      <c r="F202" s="4" t="s">
        <v>523</v>
      </c>
    </row>
    <row r="203" spans="1:6">
      <c r="A203" s="4" t="s">
        <v>1168</v>
      </c>
      <c r="B203" s="4">
        <v>2</v>
      </c>
      <c r="C203" s="4">
        <v>334</v>
      </c>
      <c r="D203" s="4" t="s">
        <v>1017</v>
      </c>
      <c r="E203" s="4" t="s">
        <v>1018</v>
      </c>
      <c r="F203" s="4" t="s">
        <v>130</v>
      </c>
    </row>
    <row r="204" spans="1:6">
      <c r="A204" s="4" t="s">
        <v>1168</v>
      </c>
      <c r="B204" s="4">
        <v>3</v>
      </c>
      <c r="C204" s="4">
        <v>342</v>
      </c>
      <c r="D204" s="4" t="s">
        <v>1041</v>
      </c>
      <c r="E204" s="4" t="s">
        <v>1042</v>
      </c>
      <c r="F204" s="4" t="s">
        <v>33</v>
      </c>
    </row>
    <row r="205" spans="1:6">
      <c r="A205" s="4" t="s">
        <v>1169</v>
      </c>
      <c r="B205" s="4">
        <v>1</v>
      </c>
      <c r="C205" s="4">
        <v>18</v>
      </c>
      <c r="D205" s="4" t="s">
        <v>85</v>
      </c>
      <c r="E205" s="4" t="s">
        <v>86</v>
      </c>
      <c r="F205" s="4" t="s">
        <v>87</v>
      </c>
    </row>
    <row r="206" spans="1:6">
      <c r="A206" s="4" t="s">
        <v>1170</v>
      </c>
      <c r="B206" s="4">
        <v>1</v>
      </c>
      <c r="C206" s="4">
        <v>271</v>
      </c>
      <c r="D206" s="4" t="s">
        <v>832</v>
      </c>
      <c r="E206" s="4" t="s">
        <v>833</v>
      </c>
      <c r="F206" s="4" t="s">
        <v>342</v>
      </c>
    </row>
    <row r="207" spans="1:6">
      <c r="A207" s="4" t="s">
        <v>1170</v>
      </c>
      <c r="B207" s="4">
        <v>2</v>
      </c>
      <c r="C207" s="4">
        <v>270</v>
      </c>
      <c r="D207" s="4" t="s">
        <v>829</v>
      </c>
      <c r="E207" s="4" t="s">
        <v>830</v>
      </c>
      <c r="F207" s="4" t="s">
        <v>342</v>
      </c>
    </row>
    <row r="208" spans="1:6">
      <c r="A208" s="4" t="s">
        <v>1170</v>
      </c>
      <c r="B208" s="4">
        <v>3</v>
      </c>
      <c r="C208" s="4">
        <v>79</v>
      </c>
      <c r="D208" s="4" t="s">
        <v>302</v>
      </c>
      <c r="E208" s="4" t="s">
        <v>303</v>
      </c>
      <c r="F208" s="4" t="s">
        <v>19</v>
      </c>
    </row>
    <row r="209" spans="1:6">
      <c r="A209" s="4" t="s">
        <v>1170</v>
      </c>
      <c r="B209" s="4">
        <v>4</v>
      </c>
      <c r="C209" s="4">
        <v>282</v>
      </c>
      <c r="D209" s="4" t="s">
        <v>870</v>
      </c>
      <c r="E209" s="4" t="s">
        <v>871</v>
      </c>
      <c r="F209" s="4" t="s">
        <v>253</v>
      </c>
    </row>
    <row r="210" spans="1:6">
      <c r="A210" s="4" t="s">
        <v>1170</v>
      </c>
      <c r="B210" s="4">
        <v>5</v>
      </c>
      <c r="C210" s="4">
        <v>365</v>
      </c>
      <c r="D210" s="4" t="s">
        <v>1109</v>
      </c>
      <c r="E210" s="4" t="s">
        <v>1110</v>
      </c>
      <c r="F210" s="4" t="s">
        <v>19</v>
      </c>
    </row>
    <row r="211" spans="1:6">
      <c r="A211" s="4" t="s">
        <v>1170</v>
      </c>
      <c r="B211" s="4">
        <v>6</v>
      </c>
      <c r="C211" s="4">
        <v>232</v>
      </c>
      <c r="D211" s="4" t="s">
        <v>727</v>
      </c>
      <c r="E211" s="4" t="s">
        <v>728</v>
      </c>
      <c r="F211" s="4" t="s">
        <v>19</v>
      </c>
    </row>
    <row r="212" spans="1:6">
      <c r="A212" s="4" t="s">
        <v>1170</v>
      </c>
      <c r="B212" s="4">
        <v>7</v>
      </c>
      <c r="C212" s="4">
        <v>359</v>
      </c>
      <c r="D212" s="4" t="s">
        <v>1091</v>
      </c>
      <c r="E212" s="4" t="s">
        <v>1092</v>
      </c>
      <c r="F212" s="4" t="s">
        <v>19</v>
      </c>
    </row>
    <row r="213" spans="1:6">
      <c r="A213" s="4" t="s">
        <v>1170</v>
      </c>
      <c r="B213" s="4">
        <v>8</v>
      </c>
      <c r="C213" s="4">
        <v>42</v>
      </c>
      <c r="D213" s="4" t="s">
        <v>169</v>
      </c>
      <c r="E213" s="4" t="s">
        <v>170</v>
      </c>
      <c r="F213" s="4" t="s">
        <v>19</v>
      </c>
    </row>
    <row r="214" spans="1:6">
      <c r="A214" s="4" t="s">
        <v>1170</v>
      </c>
      <c r="B214" s="4">
        <v>9</v>
      </c>
      <c r="C214" s="4">
        <v>39</v>
      </c>
      <c r="D214" s="4" t="s">
        <v>157</v>
      </c>
      <c r="E214" s="4" t="s">
        <v>158</v>
      </c>
      <c r="F214" s="4" t="s">
        <v>19</v>
      </c>
    </row>
    <row r="215" spans="1:6">
      <c r="A215" s="4" t="s">
        <v>1170</v>
      </c>
      <c r="B215" s="4">
        <v>10</v>
      </c>
      <c r="C215" s="4">
        <v>36</v>
      </c>
      <c r="D215" s="4" t="s">
        <v>150</v>
      </c>
      <c r="E215" s="4" t="s">
        <v>151</v>
      </c>
      <c r="F215" s="4" t="s">
        <v>19</v>
      </c>
    </row>
    <row r="216" spans="1:6">
      <c r="A216" s="4" t="s">
        <v>1170</v>
      </c>
      <c r="B216" s="4">
        <v>11</v>
      </c>
      <c r="C216" s="4">
        <v>135</v>
      </c>
      <c r="D216" s="4" t="s">
        <v>463</v>
      </c>
      <c r="E216" s="4" t="s">
        <v>464</v>
      </c>
      <c r="F216" s="4" t="s">
        <v>19</v>
      </c>
    </row>
    <row r="217" spans="1:6">
      <c r="A217" s="4" t="s">
        <v>1170</v>
      </c>
      <c r="B217" s="4">
        <v>12</v>
      </c>
      <c r="C217" s="4">
        <v>58</v>
      </c>
      <c r="D217" s="4" t="s">
        <v>221</v>
      </c>
      <c r="E217" s="4" t="s">
        <v>222</v>
      </c>
      <c r="F217" s="4" t="s">
        <v>19</v>
      </c>
    </row>
    <row r="218" spans="1:6">
      <c r="A218" s="4" t="s">
        <v>1170</v>
      </c>
      <c r="B218" s="4">
        <v>13</v>
      </c>
      <c r="C218" s="4">
        <v>223</v>
      </c>
      <c r="D218" s="4" t="s">
        <v>705</v>
      </c>
      <c r="E218" s="4" t="s">
        <v>706</v>
      </c>
      <c r="F218" s="4" t="s">
        <v>19</v>
      </c>
    </row>
    <row r="219" spans="1:6">
      <c r="A219" s="4" t="s">
        <v>1171</v>
      </c>
      <c r="B219" s="4">
        <v>1</v>
      </c>
      <c r="C219" s="4">
        <v>251</v>
      </c>
      <c r="D219" s="4" t="s">
        <v>780</v>
      </c>
      <c r="E219" s="4" t="s">
        <v>781</v>
      </c>
      <c r="F219" s="4" t="s">
        <v>267</v>
      </c>
    </row>
    <row r="220" spans="1:6">
      <c r="A220" s="4" t="s">
        <v>1171</v>
      </c>
      <c r="B220" s="4">
        <v>2</v>
      </c>
      <c r="C220" s="4">
        <v>43</v>
      </c>
      <c r="D220" s="4" t="s">
        <v>172</v>
      </c>
      <c r="E220" s="4" t="s">
        <v>173</v>
      </c>
      <c r="F220" s="4" t="s">
        <v>55</v>
      </c>
    </row>
    <row r="221" spans="1:6">
      <c r="A221" s="4" t="s">
        <v>1171</v>
      </c>
      <c r="B221" s="4">
        <v>3</v>
      </c>
      <c r="C221" s="4">
        <v>256</v>
      </c>
      <c r="D221" s="4" t="s">
        <v>791</v>
      </c>
      <c r="E221" s="4" t="s">
        <v>792</v>
      </c>
      <c r="F221" s="4" t="s">
        <v>267</v>
      </c>
    </row>
    <row r="222" spans="1:6">
      <c r="A222" s="4" t="s">
        <v>1171</v>
      </c>
      <c r="B222" s="4">
        <v>4</v>
      </c>
      <c r="C222" s="4">
        <v>320</v>
      </c>
      <c r="D222" s="4" t="s">
        <v>976</v>
      </c>
      <c r="E222" s="4" t="s">
        <v>977</v>
      </c>
      <c r="F222" s="4" t="s">
        <v>423</v>
      </c>
    </row>
    <row r="223" spans="1:6">
      <c r="A223" s="4" t="s">
        <v>1171</v>
      </c>
      <c r="B223" s="4">
        <v>5</v>
      </c>
      <c r="C223" s="4">
        <v>356</v>
      </c>
      <c r="D223" s="4" t="s">
        <v>1082</v>
      </c>
      <c r="E223" s="4" t="s">
        <v>1083</v>
      </c>
      <c r="F223" s="4" t="s">
        <v>19</v>
      </c>
    </row>
    <row r="224" spans="1:6">
      <c r="A224" s="4" t="s">
        <v>1172</v>
      </c>
      <c r="B224" s="4">
        <v>1</v>
      </c>
      <c r="C224" s="4">
        <v>314</v>
      </c>
      <c r="D224" s="4" t="s">
        <v>961</v>
      </c>
      <c r="E224" s="4" t="s">
        <v>962</v>
      </c>
      <c r="F224" s="4" t="s">
        <v>97</v>
      </c>
    </row>
    <row r="225" spans="1:6">
      <c r="A225" s="4" t="s">
        <v>1172</v>
      </c>
      <c r="B225" s="4">
        <v>2</v>
      </c>
      <c r="C225" s="4">
        <v>333</v>
      </c>
      <c r="D225" s="4" t="s">
        <v>1014</v>
      </c>
      <c r="E225" s="4" t="s">
        <v>1015</v>
      </c>
      <c r="F225" s="4" t="s">
        <v>19</v>
      </c>
    </row>
    <row r="226" spans="1:6">
      <c r="A226" s="4" t="s">
        <v>1172</v>
      </c>
      <c r="B226" s="4">
        <v>3</v>
      </c>
      <c r="C226" s="4">
        <v>300</v>
      </c>
      <c r="D226" s="4" t="s">
        <v>922</v>
      </c>
      <c r="E226" s="4" t="s">
        <v>923</v>
      </c>
      <c r="F226" s="4" t="s">
        <v>19</v>
      </c>
    </row>
    <row r="227" spans="1:6">
      <c r="A227" s="4" t="s">
        <v>1172</v>
      </c>
      <c r="B227" s="4">
        <v>4</v>
      </c>
      <c r="C227" s="4">
        <v>111</v>
      </c>
      <c r="D227" s="4" t="s">
        <v>395</v>
      </c>
      <c r="E227" s="4" t="s">
        <v>396</v>
      </c>
      <c r="F227" s="4" t="s">
        <v>19</v>
      </c>
    </row>
    <row r="228" spans="1:6">
      <c r="A228" s="4" t="s">
        <v>1172</v>
      </c>
      <c r="B228" s="4">
        <v>5</v>
      </c>
      <c r="C228" s="4">
        <v>184</v>
      </c>
      <c r="D228" s="4" t="s">
        <v>598</v>
      </c>
      <c r="E228" s="4" t="s">
        <v>599</v>
      </c>
      <c r="F228" s="4" t="s">
        <v>267</v>
      </c>
    </row>
    <row r="229" spans="1:6">
      <c r="A229" s="4" t="s">
        <v>1173</v>
      </c>
      <c r="B229" s="4">
        <v>1</v>
      </c>
      <c r="C229" s="4">
        <v>162</v>
      </c>
      <c r="D229" s="4" t="s">
        <v>534</v>
      </c>
      <c r="E229" s="4" t="s">
        <v>535</v>
      </c>
      <c r="F229" s="4" t="s">
        <v>523</v>
      </c>
    </row>
    <row r="230" spans="1:6">
      <c r="A230" s="4" t="s">
        <v>1173</v>
      </c>
      <c r="B230" s="4">
        <v>2</v>
      </c>
      <c r="C230" s="4">
        <v>321</v>
      </c>
      <c r="D230" s="4" t="s">
        <v>979</v>
      </c>
      <c r="E230" s="4" t="s">
        <v>980</v>
      </c>
      <c r="F230" s="4" t="s">
        <v>423</v>
      </c>
    </row>
    <row r="231" spans="1:6">
      <c r="A231" s="4" t="s">
        <v>1173</v>
      </c>
      <c r="B231" s="4">
        <v>3</v>
      </c>
      <c r="C231" s="4">
        <v>316</v>
      </c>
      <c r="D231" s="4" t="s">
        <v>967</v>
      </c>
      <c r="E231" s="4" t="s">
        <v>968</v>
      </c>
      <c r="F231" s="4" t="s">
        <v>78</v>
      </c>
    </row>
    <row r="232" spans="1:6">
      <c r="A232" s="4" t="s">
        <v>1174</v>
      </c>
      <c r="B232" s="4">
        <v>1</v>
      </c>
      <c r="C232" s="4">
        <v>324</v>
      </c>
      <c r="D232" s="4" t="s">
        <v>986</v>
      </c>
      <c r="E232" s="4" t="s">
        <v>987</v>
      </c>
      <c r="F232" s="4" t="s">
        <v>423</v>
      </c>
    </row>
    <row r="233" spans="1:6">
      <c r="A233" s="4" t="s">
        <v>1174</v>
      </c>
      <c r="B233" s="4">
        <v>2</v>
      </c>
      <c r="C233" s="4">
        <v>269</v>
      </c>
      <c r="D233" s="4" t="s">
        <v>826</v>
      </c>
      <c r="E233" s="4" t="s">
        <v>827</v>
      </c>
      <c r="F233" s="4" t="s">
        <v>19</v>
      </c>
    </row>
    <row r="234" spans="1:6">
      <c r="A234" s="4" t="s">
        <v>1174</v>
      </c>
      <c r="B234" s="4">
        <v>3</v>
      </c>
      <c r="C234" s="4">
        <v>168</v>
      </c>
      <c r="D234" s="4" t="s">
        <v>551</v>
      </c>
      <c r="E234" s="4" t="s">
        <v>552</v>
      </c>
      <c r="F234" s="4" t="s">
        <v>165</v>
      </c>
    </row>
    <row r="235" spans="1:6">
      <c r="A235" s="4" t="s">
        <v>1174</v>
      </c>
      <c r="B235" s="4">
        <v>4</v>
      </c>
      <c r="C235" s="4">
        <v>93</v>
      </c>
      <c r="D235" s="4" t="s">
        <v>344</v>
      </c>
      <c r="E235" s="4" t="s">
        <v>345</v>
      </c>
      <c r="F235" s="4" t="s">
        <v>19</v>
      </c>
    </row>
    <row r="236" spans="1:6">
      <c r="A236" s="4" t="s">
        <v>1174</v>
      </c>
      <c r="B236" s="4">
        <v>5</v>
      </c>
      <c r="C236" s="4">
        <v>199</v>
      </c>
      <c r="D236" s="4" t="s">
        <v>641</v>
      </c>
      <c r="E236" s="4" t="s">
        <v>642</v>
      </c>
      <c r="F236" s="4" t="s">
        <v>28</v>
      </c>
    </row>
    <row r="237" spans="1:6">
      <c r="A237" s="4" t="s">
        <v>1175</v>
      </c>
      <c r="B237" s="4">
        <v>1</v>
      </c>
      <c r="C237" s="4">
        <v>310</v>
      </c>
      <c r="D237" s="4" t="s">
        <v>949</v>
      </c>
      <c r="E237" s="4" t="s">
        <v>950</v>
      </c>
      <c r="F237" s="4" t="s">
        <v>423</v>
      </c>
    </row>
    <row r="238" spans="1:6">
      <c r="A238" s="4" t="s">
        <v>1176</v>
      </c>
      <c r="B238" s="4">
        <v>1</v>
      </c>
      <c r="C238" s="4">
        <v>332</v>
      </c>
      <c r="D238" s="4" t="s">
        <v>1011</v>
      </c>
      <c r="E238" s="4" t="s">
        <v>1012</v>
      </c>
      <c r="F238" s="4" t="s">
        <v>487</v>
      </c>
    </row>
    <row r="239" spans="1:6">
      <c r="A239" s="4" t="s">
        <v>1177</v>
      </c>
      <c r="B239" s="4">
        <v>1</v>
      </c>
      <c r="C239" s="4">
        <v>280</v>
      </c>
      <c r="D239" s="4" t="s">
        <v>864</v>
      </c>
      <c r="E239" s="4" t="s">
        <v>865</v>
      </c>
      <c r="F239" s="4" t="s">
        <v>19</v>
      </c>
    </row>
    <row r="240" spans="1:6">
      <c r="A240" s="4" t="s">
        <v>1178</v>
      </c>
      <c r="B240" s="4">
        <v>1</v>
      </c>
      <c r="C240" s="4">
        <v>230</v>
      </c>
      <c r="D240" s="4" t="s">
        <v>721</v>
      </c>
      <c r="E240" s="4" t="s">
        <v>722</v>
      </c>
      <c r="F240" s="4" t="s">
        <v>19</v>
      </c>
    </row>
    <row r="241" spans="1:6">
      <c r="A241" s="4" t="s">
        <v>1178</v>
      </c>
      <c r="B241" s="4">
        <v>2</v>
      </c>
      <c r="C241" s="4">
        <v>360</v>
      </c>
      <c r="D241" s="4" t="s">
        <v>1094</v>
      </c>
      <c r="E241" s="4" t="s">
        <v>1095</v>
      </c>
      <c r="F241" s="4" t="s">
        <v>130</v>
      </c>
    </row>
    <row r="242" spans="1:6">
      <c r="A242" s="4" t="s">
        <v>1178</v>
      </c>
      <c r="B242" s="4">
        <v>3</v>
      </c>
      <c r="C242" s="4">
        <v>234</v>
      </c>
      <c r="D242" s="4" t="s">
        <v>733</v>
      </c>
      <c r="E242" s="4" t="s">
        <v>734</v>
      </c>
      <c r="F242" s="4" t="s">
        <v>342</v>
      </c>
    </row>
    <row r="243" spans="1:6">
      <c r="A243" s="4" t="s">
        <v>1178</v>
      </c>
      <c r="B243" s="4">
        <v>4</v>
      </c>
      <c r="C243" s="4">
        <v>247</v>
      </c>
      <c r="D243" s="4" t="s">
        <v>770</v>
      </c>
      <c r="E243" s="4" t="s">
        <v>771</v>
      </c>
      <c r="F243" s="4" t="s">
        <v>19</v>
      </c>
    </row>
    <row r="244" spans="1:6">
      <c r="A244" s="4" t="s">
        <v>1178</v>
      </c>
      <c r="B244" s="4">
        <v>5</v>
      </c>
      <c r="C244" s="4">
        <v>246</v>
      </c>
      <c r="D244" s="4" t="s">
        <v>767</v>
      </c>
      <c r="E244" s="4" t="s">
        <v>768</v>
      </c>
      <c r="F244" s="4" t="s">
        <v>19</v>
      </c>
    </row>
    <row r="245" spans="1:6">
      <c r="A245" s="4" t="s">
        <v>1178</v>
      </c>
      <c r="B245" s="4">
        <v>6</v>
      </c>
      <c r="C245" s="4">
        <v>328</v>
      </c>
      <c r="D245" s="4" t="s">
        <v>996</v>
      </c>
      <c r="E245" s="4" t="s">
        <v>997</v>
      </c>
      <c r="F245" s="4" t="s">
        <v>19</v>
      </c>
    </row>
    <row r="246" spans="1:6">
      <c r="A246" s="4" t="s">
        <v>1178</v>
      </c>
      <c r="B246" s="4">
        <v>7</v>
      </c>
      <c r="C246" s="4">
        <v>327</v>
      </c>
      <c r="D246" s="4" t="s">
        <v>993</v>
      </c>
      <c r="E246" s="4" t="s">
        <v>994</v>
      </c>
      <c r="F246" s="4" t="s">
        <v>19</v>
      </c>
    </row>
    <row r="247" spans="1:6">
      <c r="A247" s="4" t="s">
        <v>1178</v>
      </c>
      <c r="B247" s="4">
        <v>8</v>
      </c>
      <c r="C247" s="4">
        <v>347</v>
      </c>
      <c r="D247" s="4" t="s">
        <v>1055</v>
      </c>
      <c r="E247" s="4" t="s">
        <v>1056</v>
      </c>
      <c r="F247" s="4" t="s">
        <v>267</v>
      </c>
    </row>
    <row r="248" spans="1:6">
      <c r="A248" s="4" t="s">
        <v>1178</v>
      </c>
      <c r="B248" s="4">
        <v>9</v>
      </c>
      <c r="C248" s="4">
        <v>348</v>
      </c>
      <c r="D248" s="4" t="s">
        <v>1058</v>
      </c>
      <c r="E248" s="4" t="s">
        <v>1059</v>
      </c>
      <c r="F248" s="4" t="s">
        <v>267</v>
      </c>
    </row>
    <row r="249" spans="1:6">
      <c r="A249" s="4" t="s">
        <v>1178</v>
      </c>
      <c r="B249" s="4">
        <v>10</v>
      </c>
      <c r="C249" s="4">
        <v>349</v>
      </c>
      <c r="D249" s="4" t="s">
        <v>1061</v>
      </c>
      <c r="E249" s="4" t="s">
        <v>1062</v>
      </c>
      <c r="F249" s="4" t="s">
        <v>253</v>
      </c>
    </row>
    <row r="250" spans="1:6">
      <c r="A250" s="4" t="s">
        <v>1178</v>
      </c>
      <c r="B250" s="4">
        <v>11</v>
      </c>
      <c r="C250" s="4">
        <v>352</v>
      </c>
      <c r="D250" s="4" t="s">
        <v>1070</v>
      </c>
      <c r="E250" s="4" t="s">
        <v>1071</v>
      </c>
      <c r="F250" s="4" t="s">
        <v>267</v>
      </c>
    </row>
    <row r="251" spans="1:6">
      <c r="A251" s="4" t="s">
        <v>1178</v>
      </c>
      <c r="B251" s="4">
        <v>12</v>
      </c>
      <c r="C251" s="4">
        <v>233</v>
      </c>
      <c r="D251" s="4" t="s">
        <v>730</v>
      </c>
      <c r="E251" s="4" t="s">
        <v>731</v>
      </c>
      <c r="F251" s="4" t="s">
        <v>342</v>
      </c>
    </row>
    <row r="252" spans="1:6">
      <c r="A252" s="4" t="s">
        <v>1178</v>
      </c>
      <c r="B252" s="4">
        <v>13</v>
      </c>
      <c r="C252" s="4">
        <v>231</v>
      </c>
      <c r="D252" s="4" t="s">
        <v>724</v>
      </c>
      <c r="E252" s="4" t="s">
        <v>725</v>
      </c>
      <c r="F252" s="4" t="s">
        <v>342</v>
      </c>
    </row>
    <row r="253" spans="1:6">
      <c r="A253" s="4" t="s">
        <v>1178</v>
      </c>
      <c r="B253" s="4">
        <v>14</v>
      </c>
      <c r="C253" s="4">
        <v>216</v>
      </c>
      <c r="D253" s="4" t="s">
        <v>689</v>
      </c>
      <c r="E253" s="4" t="s">
        <v>690</v>
      </c>
      <c r="F253" s="4" t="s">
        <v>342</v>
      </c>
    </row>
    <row r="254" spans="1:6">
      <c r="A254" s="4" t="s">
        <v>1178</v>
      </c>
      <c r="B254" s="4">
        <v>15</v>
      </c>
      <c r="C254" s="4">
        <v>355</v>
      </c>
      <c r="D254" s="4" t="s">
        <v>1079</v>
      </c>
      <c r="E254" s="4" t="s">
        <v>1080</v>
      </c>
      <c r="F254" s="4" t="s">
        <v>19</v>
      </c>
    </row>
    <row r="255" spans="1:6">
      <c r="A255" s="4" t="s">
        <v>1178</v>
      </c>
      <c r="B255" s="4">
        <v>16</v>
      </c>
      <c r="C255" s="4">
        <v>210</v>
      </c>
      <c r="D255" s="4" t="s">
        <v>671</v>
      </c>
      <c r="E255" s="4" t="s">
        <v>672</v>
      </c>
      <c r="F255" s="4" t="s">
        <v>19</v>
      </c>
    </row>
    <row r="256" spans="1:6">
      <c r="A256" s="4" t="s">
        <v>1178</v>
      </c>
      <c r="B256" s="4">
        <v>17</v>
      </c>
      <c r="C256" s="4">
        <v>209</v>
      </c>
      <c r="D256" s="4" t="s">
        <v>668</v>
      </c>
      <c r="E256" s="4" t="s">
        <v>669</v>
      </c>
      <c r="F256" s="4" t="s">
        <v>19</v>
      </c>
    </row>
    <row r="257" spans="1:6">
      <c r="A257" s="4" t="s">
        <v>1178</v>
      </c>
      <c r="B257" s="4">
        <v>18</v>
      </c>
      <c r="C257" s="4">
        <v>67</v>
      </c>
      <c r="D257" s="4" t="s">
        <v>257</v>
      </c>
      <c r="E257" s="4" t="s">
        <v>258</v>
      </c>
      <c r="F257" s="4" t="s">
        <v>19</v>
      </c>
    </row>
    <row r="258" spans="1:6">
      <c r="A258" s="4" t="s">
        <v>1178</v>
      </c>
      <c r="B258" s="4">
        <v>19</v>
      </c>
      <c r="C258" s="4">
        <v>245</v>
      </c>
      <c r="D258" s="4" t="s">
        <v>764</v>
      </c>
      <c r="E258" s="4" t="s">
        <v>765</v>
      </c>
      <c r="F258" s="4" t="s">
        <v>19</v>
      </c>
    </row>
    <row r="259" spans="1:6">
      <c r="A259" s="4" t="s">
        <v>1178</v>
      </c>
      <c r="B259" s="4">
        <v>20</v>
      </c>
      <c r="C259" s="4">
        <v>244</v>
      </c>
      <c r="D259" s="4" t="s">
        <v>761</v>
      </c>
      <c r="E259" s="4" t="s">
        <v>762</v>
      </c>
      <c r="F259" s="4" t="s">
        <v>19</v>
      </c>
    </row>
    <row r="260" spans="1:6">
      <c r="A260" s="4" t="s">
        <v>1178</v>
      </c>
      <c r="B260" s="4">
        <v>21</v>
      </c>
      <c r="C260" s="4">
        <v>331</v>
      </c>
      <c r="D260" s="4" t="s">
        <v>1008</v>
      </c>
      <c r="E260" s="4" t="s">
        <v>1009</v>
      </c>
      <c r="F260" s="4" t="s">
        <v>19</v>
      </c>
    </row>
    <row r="261" spans="1:6">
      <c r="A261" s="4" t="s">
        <v>1178</v>
      </c>
      <c r="B261" s="4">
        <v>22</v>
      </c>
      <c r="C261" s="4">
        <v>241</v>
      </c>
      <c r="D261" s="4" t="s">
        <v>750</v>
      </c>
      <c r="E261" s="4" t="s">
        <v>751</v>
      </c>
      <c r="F261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8"/>
  <sheetViews>
    <sheetView workbookViewId="0"/>
  </sheetViews>
  <sheetFormatPr baseColWidth="10" defaultColWidth="8.796875" defaultRowHeight="13.8"/>
  <cols>
    <col min="1" max="1" width="36" customWidth="1"/>
    <col min="2" max="2" width="24" customWidth="1"/>
    <col min="3" max="3" width="34" customWidth="1"/>
  </cols>
  <sheetData>
    <row r="1" spans="1:3" ht="25.65" customHeight="1">
      <c r="A1" s="3" t="s">
        <v>1179</v>
      </c>
      <c r="B1" s="3" t="s">
        <v>1180</v>
      </c>
      <c r="C1" s="3" t="s">
        <v>1181</v>
      </c>
    </row>
    <row r="2" spans="1:3">
      <c r="A2" t="s">
        <v>262</v>
      </c>
      <c r="B2" t="s">
        <v>1182</v>
      </c>
      <c r="C2" t="s">
        <v>89</v>
      </c>
    </row>
    <row r="3" spans="1:3">
      <c r="A3" t="s">
        <v>34</v>
      </c>
      <c r="B3" t="s">
        <v>1183</v>
      </c>
      <c r="C3" t="s">
        <v>18</v>
      </c>
    </row>
    <row r="4" spans="1:3">
      <c r="A4" t="s">
        <v>814</v>
      </c>
      <c r="B4" t="s">
        <v>1184</v>
      </c>
      <c r="C4" t="s">
        <v>18</v>
      </c>
    </row>
    <row r="5" spans="1:3">
      <c r="A5" t="s">
        <v>1185</v>
      </c>
      <c r="B5" t="s">
        <v>1186</v>
      </c>
      <c r="C5" t="s">
        <v>89</v>
      </c>
    </row>
    <row r="6" spans="1:3">
      <c r="A6" t="s">
        <v>1002</v>
      </c>
      <c r="B6" t="s">
        <v>1187</v>
      </c>
      <c r="C6" t="s">
        <v>57</v>
      </c>
    </row>
    <row r="7" spans="1:3">
      <c r="A7" t="s">
        <v>1188</v>
      </c>
      <c r="B7" t="s">
        <v>1189</v>
      </c>
      <c r="C7" t="s">
        <v>122</v>
      </c>
    </row>
    <row r="8" spans="1:3">
      <c r="A8" t="s">
        <v>20</v>
      </c>
      <c r="B8" t="s">
        <v>1190</v>
      </c>
      <c r="C8" t="s">
        <v>21</v>
      </c>
    </row>
    <row r="9" spans="1:3">
      <c r="A9" t="s">
        <v>121</v>
      </c>
      <c r="B9" t="s">
        <v>1191</v>
      </c>
      <c r="C9" t="s">
        <v>122</v>
      </c>
    </row>
    <row r="10" spans="1:3">
      <c r="A10" t="s">
        <v>1192</v>
      </c>
      <c r="B10" t="s">
        <v>1193</v>
      </c>
      <c r="C10" t="s">
        <v>57</v>
      </c>
    </row>
    <row r="11" spans="1:3">
      <c r="A11" t="s">
        <v>281</v>
      </c>
      <c r="B11" t="s">
        <v>1194</v>
      </c>
      <c r="C11" t="s">
        <v>21</v>
      </c>
    </row>
    <row r="12" spans="1:3">
      <c r="A12" t="s">
        <v>101</v>
      </c>
      <c r="B12" t="s">
        <v>1195</v>
      </c>
      <c r="C12" t="s">
        <v>57</v>
      </c>
    </row>
    <row r="13" spans="1:3">
      <c r="A13" t="s">
        <v>1196</v>
      </c>
      <c r="B13" t="s">
        <v>1197</v>
      </c>
      <c r="C13" t="s">
        <v>18</v>
      </c>
    </row>
    <row r="14" spans="1:3">
      <c r="A14" t="s">
        <v>296</v>
      </c>
      <c r="B14" t="s">
        <v>1198</v>
      </c>
      <c r="C14" t="s">
        <v>18</v>
      </c>
    </row>
    <row r="15" spans="1:3">
      <c r="A15" t="s">
        <v>29</v>
      </c>
      <c r="B15" t="s">
        <v>1199</v>
      </c>
      <c r="C15" t="s">
        <v>18</v>
      </c>
    </row>
    <row r="16" spans="1:3">
      <c r="A16" t="s">
        <v>1200</v>
      </c>
      <c r="B16" t="s">
        <v>1201</v>
      </c>
      <c r="C16" t="s">
        <v>18</v>
      </c>
    </row>
    <row r="17" spans="1:3">
      <c r="A17" t="s">
        <v>1202</v>
      </c>
      <c r="B17" t="s">
        <v>1203</v>
      </c>
      <c r="C17" t="s">
        <v>89</v>
      </c>
    </row>
    <row r="18" spans="1:3">
      <c r="A18" t="s">
        <v>1204</v>
      </c>
      <c r="B18" t="s">
        <v>1205</v>
      </c>
      <c r="C18" t="s">
        <v>89</v>
      </c>
    </row>
    <row r="19" spans="1:3">
      <c r="A19" t="s">
        <v>1206</v>
      </c>
      <c r="B19" t="s">
        <v>1207</v>
      </c>
      <c r="C19" t="s">
        <v>122</v>
      </c>
    </row>
    <row r="20" spans="1:3">
      <c r="A20" t="s">
        <v>424</v>
      </c>
      <c r="B20" t="s">
        <v>1208</v>
      </c>
      <c r="C20" t="s">
        <v>122</v>
      </c>
    </row>
    <row r="21" spans="1:3">
      <c r="A21" t="s">
        <v>226</v>
      </c>
      <c r="B21" t="s">
        <v>1209</v>
      </c>
      <c r="C21" t="s">
        <v>89</v>
      </c>
    </row>
    <row r="22" spans="1:3">
      <c r="A22" t="s">
        <v>243</v>
      </c>
      <c r="B22" t="s">
        <v>1210</v>
      </c>
      <c r="C22" t="s">
        <v>89</v>
      </c>
    </row>
    <row r="23" spans="1:3">
      <c r="A23" t="s">
        <v>1211</v>
      </c>
      <c r="B23" t="s">
        <v>1212</v>
      </c>
      <c r="C23" t="s">
        <v>18</v>
      </c>
    </row>
    <row r="24" spans="1:3">
      <c r="A24" t="s">
        <v>211</v>
      </c>
      <c r="B24" t="s">
        <v>1213</v>
      </c>
      <c r="C24" t="s">
        <v>212</v>
      </c>
    </row>
    <row r="25" spans="1:3">
      <c r="A25" t="s">
        <v>1214</v>
      </c>
      <c r="B25" t="s">
        <v>1215</v>
      </c>
      <c r="C25" t="s">
        <v>40</v>
      </c>
    </row>
    <row r="26" spans="1:3">
      <c r="A26" t="s">
        <v>39</v>
      </c>
      <c r="B26" t="s">
        <v>1216</v>
      </c>
      <c r="C26" t="s">
        <v>40</v>
      </c>
    </row>
    <row r="27" spans="1:3">
      <c r="A27" t="s">
        <v>937</v>
      </c>
      <c r="B27" t="s">
        <v>1217</v>
      </c>
      <c r="C27" t="s">
        <v>212</v>
      </c>
    </row>
    <row r="28" spans="1:3">
      <c r="A28" t="s">
        <v>1218</v>
      </c>
      <c r="B28" t="s">
        <v>1219</v>
      </c>
      <c r="C28" t="s">
        <v>57</v>
      </c>
    </row>
    <row r="29" spans="1:3">
      <c r="A29" t="s">
        <v>88</v>
      </c>
      <c r="B29" t="s">
        <v>1220</v>
      </c>
      <c r="C29" t="s">
        <v>89</v>
      </c>
    </row>
    <row r="30" spans="1:3">
      <c r="A30" t="s">
        <v>1221</v>
      </c>
      <c r="B30" t="s">
        <v>1222</v>
      </c>
      <c r="C30" t="s">
        <v>89</v>
      </c>
    </row>
    <row r="31" spans="1:3">
      <c r="A31" t="s">
        <v>1223</v>
      </c>
      <c r="B31" t="s">
        <v>1224</v>
      </c>
      <c r="C31" t="s">
        <v>40</v>
      </c>
    </row>
    <row r="32" spans="1:3">
      <c r="A32" t="s">
        <v>1225</v>
      </c>
      <c r="B32" t="s">
        <v>1226</v>
      </c>
      <c r="C32" t="s">
        <v>89</v>
      </c>
    </row>
    <row r="33" spans="1:3">
      <c r="A33" t="s">
        <v>1227</v>
      </c>
      <c r="B33" t="s">
        <v>1228</v>
      </c>
      <c r="C33" t="s">
        <v>212</v>
      </c>
    </row>
    <row r="34" spans="1:3">
      <c r="A34" t="s">
        <v>557</v>
      </c>
      <c r="B34" t="s">
        <v>1229</v>
      </c>
      <c r="C34" t="s">
        <v>18</v>
      </c>
    </row>
    <row r="35" spans="1:3">
      <c r="A35" t="s">
        <v>1230</v>
      </c>
      <c r="B35" t="s">
        <v>1231</v>
      </c>
      <c r="C35" t="s">
        <v>18</v>
      </c>
    </row>
    <row r="36" spans="1:3">
      <c r="A36" t="s">
        <v>131</v>
      </c>
      <c r="B36" t="s">
        <v>1232</v>
      </c>
      <c r="C36" t="s">
        <v>57</v>
      </c>
    </row>
    <row r="37" spans="1:3">
      <c r="A37" t="s">
        <v>184</v>
      </c>
      <c r="B37" t="s">
        <v>1233</v>
      </c>
      <c r="C37" t="s">
        <v>57</v>
      </c>
    </row>
    <row r="38" spans="1:3">
      <c r="A38" t="s">
        <v>1234</v>
      </c>
      <c r="B38" t="s">
        <v>1235</v>
      </c>
      <c r="C38" t="s">
        <v>122</v>
      </c>
    </row>
    <row r="39" spans="1:3">
      <c r="A39" t="s">
        <v>235</v>
      </c>
      <c r="B39" t="s">
        <v>1236</v>
      </c>
      <c r="C39" t="s">
        <v>57</v>
      </c>
    </row>
    <row r="40" spans="1:3">
      <c r="A40" t="s">
        <v>524</v>
      </c>
      <c r="B40" t="s">
        <v>1237</v>
      </c>
      <c r="C40" t="s">
        <v>40</v>
      </c>
    </row>
    <row r="41" spans="1:3">
      <c r="A41" t="s">
        <v>1238</v>
      </c>
      <c r="B41" t="s">
        <v>1239</v>
      </c>
      <c r="C41" t="s">
        <v>212</v>
      </c>
    </row>
    <row r="42" spans="1:3">
      <c r="A42" t="s">
        <v>254</v>
      </c>
      <c r="B42" t="s">
        <v>1240</v>
      </c>
      <c r="C42" t="s">
        <v>57</v>
      </c>
    </row>
    <row r="43" spans="1:3">
      <c r="A43" t="s">
        <v>841</v>
      </c>
      <c r="B43" t="s">
        <v>1241</v>
      </c>
      <c r="C43" t="s">
        <v>18</v>
      </c>
    </row>
    <row r="44" spans="1:3">
      <c r="A44" t="s">
        <v>1242</v>
      </c>
      <c r="B44" t="s">
        <v>1243</v>
      </c>
      <c r="C44" t="s">
        <v>40</v>
      </c>
    </row>
    <row r="45" spans="1:3">
      <c r="A45" t="s">
        <v>855</v>
      </c>
      <c r="B45" t="s">
        <v>1244</v>
      </c>
      <c r="C45" t="s">
        <v>212</v>
      </c>
    </row>
    <row r="46" spans="1:3">
      <c r="A46" t="s">
        <v>56</v>
      </c>
      <c r="B46" t="s">
        <v>1245</v>
      </c>
      <c r="C46" t="s">
        <v>57</v>
      </c>
    </row>
    <row r="47" spans="1:3">
      <c r="A47" t="s">
        <v>604</v>
      </c>
      <c r="B47" t="s">
        <v>1246</v>
      </c>
      <c r="C47" t="s">
        <v>89</v>
      </c>
    </row>
    <row r="48" spans="1:3">
      <c r="A48" t="s">
        <v>893</v>
      </c>
      <c r="B48" t="s">
        <v>1247</v>
      </c>
      <c r="C48" t="s">
        <v>212</v>
      </c>
    </row>
    <row r="49" spans="1:3">
      <c r="A49" t="s">
        <v>166</v>
      </c>
      <c r="B49" t="s">
        <v>1248</v>
      </c>
      <c r="C49" t="s">
        <v>89</v>
      </c>
    </row>
    <row r="50" spans="1:3">
      <c r="A50" t="s">
        <v>1249</v>
      </c>
      <c r="B50" t="s">
        <v>1250</v>
      </c>
      <c r="C50" t="s">
        <v>89</v>
      </c>
    </row>
    <row r="51" spans="1:3">
      <c r="A51" t="s">
        <v>1251</v>
      </c>
      <c r="B51" t="s">
        <v>1252</v>
      </c>
      <c r="C51" t="s">
        <v>18</v>
      </c>
    </row>
    <row r="52" spans="1:3">
      <c r="A52" t="s">
        <v>79</v>
      </c>
      <c r="B52" t="s">
        <v>1253</v>
      </c>
      <c r="C52" t="s">
        <v>18</v>
      </c>
    </row>
    <row r="53" spans="1:3">
      <c r="A53" t="s">
        <v>147</v>
      </c>
      <c r="B53" t="s">
        <v>1254</v>
      </c>
      <c r="C53" t="s">
        <v>57</v>
      </c>
    </row>
    <row r="54" spans="1:3">
      <c r="A54" t="s">
        <v>414</v>
      </c>
      <c r="B54" t="s">
        <v>1255</v>
      </c>
      <c r="C54" t="s">
        <v>57</v>
      </c>
    </row>
    <row r="55" spans="1:3">
      <c r="A55" t="s">
        <v>1256</v>
      </c>
      <c r="B55" t="s">
        <v>1257</v>
      </c>
      <c r="C55" t="s">
        <v>40</v>
      </c>
    </row>
    <row r="56" spans="1:3">
      <c r="A56" t="s">
        <v>752</v>
      </c>
      <c r="B56" t="s">
        <v>1258</v>
      </c>
      <c r="C56" t="s">
        <v>212</v>
      </c>
    </row>
    <row r="57" spans="1:3">
      <c r="A57" t="s">
        <v>1259</v>
      </c>
      <c r="B57" t="s">
        <v>1260</v>
      </c>
      <c r="C57" t="s">
        <v>18</v>
      </c>
    </row>
    <row r="58" spans="1:3">
      <c r="A58" t="s">
        <v>1261</v>
      </c>
      <c r="B58" t="s">
        <v>1262</v>
      </c>
      <c r="C58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6"/>
  <sheetViews>
    <sheetView workbookViewId="0"/>
  </sheetViews>
  <sheetFormatPr baseColWidth="10" defaultColWidth="8.796875" defaultRowHeight="13.8"/>
  <cols>
    <col min="1" max="1" width="7" customWidth="1"/>
    <col min="2" max="2" width="10" customWidth="1"/>
    <col min="3" max="3" width="26" customWidth="1"/>
    <col min="4" max="4" width="25" customWidth="1"/>
    <col min="5" max="5" width="27" customWidth="1"/>
    <col min="6" max="8" width="48" customWidth="1"/>
  </cols>
  <sheetData>
    <row r="1" spans="1:8" ht="24" customHeight="1">
      <c r="A1" s="23" t="s">
        <v>0</v>
      </c>
      <c r="B1" s="24" t="s">
        <v>1</v>
      </c>
      <c r="C1" s="24" t="s">
        <v>1263</v>
      </c>
      <c r="D1" s="24" t="s">
        <v>1264</v>
      </c>
      <c r="E1" s="24" t="s">
        <v>1265</v>
      </c>
      <c r="F1" s="24" t="s">
        <v>1266</v>
      </c>
      <c r="G1" s="24" t="s">
        <v>1267</v>
      </c>
      <c r="H1" s="25" t="s">
        <v>1268</v>
      </c>
    </row>
    <row r="2" spans="1:8">
      <c r="A2" s="31">
        <v>1</v>
      </c>
      <c r="B2" s="5" t="s">
        <v>15</v>
      </c>
      <c r="C2" s="4" t="s">
        <v>16</v>
      </c>
      <c r="D2" s="4" t="s">
        <v>17</v>
      </c>
      <c r="E2" s="4" t="s">
        <v>19</v>
      </c>
      <c r="F2" s="4" t="s">
        <v>1269</v>
      </c>
      <c r="G2" s="4" t="s">
        <v>1270</v>
      </c>
      <c r="H2" s="32"/>
    </row>
    <row r="3" spans="1:8">
      <c r="A3" s="31">
        <v>2</v>
      </c>
      <c r="B3" s="5" t="s">
        <v>24</v>
      </c>
      <c r="C3" s="4" t="s">
        <v>25</v>
      </c>
      <c r="D3" s="4" t="s">
        <v>26</v>
      </c>
      <c r="E3" s="4" t="s">
        <v>28</v>
      </c>
      <c r="F3" s="4" t="s">
        <v>1271</v>
      </c>
      <c r="G3" s="4" t="s">
        <v>1272</v>
      </c>
      <c r="H3" s="32" t="s">
        <v>1273</v>
      </c>
    </row>
    <row r="4" spans="1:8">
      <c r="A4" s="31">
        <v>3</v>
      </c>
      <c r="B4" s="5" t="s">
        <v>31</v>
      </c>
      <c r="C4" s="4" t="s">
        <v>32</v>
      </c>
      <c r="D4" s="4" t="s">
        <v>33</v>
      </c>
      <c r="E4" s="4" t="s">
        <v>19</v>
      </c>
      <c r="F4" s="4" t="s">
        <v>1274</v>
      </c>
      <c r="G4" s="4" t="s">
        <v>1275</v>
      </c>
      <c r="H4" s="32"/>
    </row>
    <row r="5" spans="1:8">
      <c r="A5" s="31">
        <v>4</v>
      </c>
      <c r="B5" s="5" t="s">
        <v>36</v>
      </c>
      <c r="C5" s="4" t="s">
        <v>37</v>
      </c>
      <c r="D5" s="4" t="s">
        <v>38</v>
      </c>
      <c r="E5" s="4" t="s">
        <v>19</v>
      </c>
      <c r="F5" s="4" t="s">
        <v>1276</v>
      </c>
      <c r="G5" s="4" t="s">
        <v>1277</v>
      </c>
      <c r="H5" s="32"/>
    </row>
    <row r="6" spans="1:8">
      <c r="A6" s="31">
        <v>5</v>
      </c>
      <c r="B6" s="5" t="s">
        <v>42</v>
      </c>
      <c r="C6" s="4" t="s">
        <v>43</v>
      </c>
      <c r="D6" s="4" t="s">
        <v>44</v>
      </c>
      <c r="E6" s="4" t="s">
        <v>19</v>
      </c>
      <c r="F6" s="4" t="s">
        <v>1278</v>
      </c>
      <c r="G6" s="4" t="s">
        <v>1279</v>
      </c>
      <c r="H6" s="32"/>
    </row>
    <row r="7" spans="1:8">
      <c r="A7" s="31">
        <v>6</v>
      </c>
      <c r="B7" s="5" t="s">
        <v>45</v>
      </c>
      <c r="C7" s="4" t="s">
        <v>46</v>
      </c>
      <c r="D7" s="4" t="s">
        <v>47</v>
      </c>
      <c r="E7" s="4" t="s">
        <v>19</v>
      </c>
      <c r="F7" s="4" t="s">
        <v>1280</v>
      </c>
      <c r="G7" s="4" t="s">
        <v>1281</v>
      </c>
      <c r="H7" s="32"/>
    </row>
    <row r="8" spans="1:8">
      <c r="A8" s="31">
        <v>7</v>
      </c>
      <c r="B8" s="5" t="s">
        <v>48</v>
      </c>
      <c r="C8" s="4" t="s">
        <v>49</v>
      </c>
      <c r="D8" s="4" t="s">
        <v>50</v>
      </c>
      <c r="E8" s="4" t="s">
        <v>19</v>
      </c>
      <c r="F8" s="4" t="s">
        <v>1282</v>
      </c>
      <c r="G8" s="4" t="s">
        <v>1283</v>
      </c>
      <c r="H8" s="32"/>
    </row>
    <row r="9" spans="1:8">
      <c r="A9" s="31">
        <v>8</v>
      </c>
      <c r="B9" s="5" t="s">
        <v>51</v>
      </c>
      <c r="C9" s="4" t="s">
        <v>52</v>
      </c>
      <c r="D9" s="4" t="s">
        <v>28</v>
      </c>
      <c r="E9" s="4" t="s">
        <v>19</v>
      </c>
      <c r="F9" s="4" t="s">
        <v>1284</v>
      </c>
      <c r="G9" s="4" t="s">
        <v>1273</v>
      </c>
      <c r="H9" s="32"/>
    </row>
    <row r="10" spans="1:8">
      <c r="A10" s="31">
        <v>9</v>
      </c>
      <c r="B10" s="5" t="s">
        <v>53</v>
      </c>
      <c r="C10" s="4" t="s">
        <v>54</v>
      </c>
      <c r="D10" s="4" t="s">
        <v>55</v>
      </c>
      <c r="E10" s="4" t="s">
        <v>19</v>
      </c>
      <c r="F10" s="4" t="s">
        <v>1285</v>
      </c>
      <c r="G10" s="4" t="s">
        <v>1286</v>
      </c>
      <c r="H10" s="32"/>
    </row>
    <row r="11" spans="1:8">
      <c r="A11" s="31">
        <v>10</v>
      </c>
      <c r="B11" s="5" t="s">
        <v>59</v>
      </c>
      <c r="C11" s="4" t="s">
        <v>60</v>
      </c>
      <c r="D11" s="4" t="s">
        <v>33</v>
      </c>
      <c r="E11" s="4" t="s">
        <v>19</v>
      </c>
      <c r="F11" s="4" t="s">
        <v>1287</v>
      </c>
      <c r="G11" s="4" t="s">
        <v>1275</v>
      </c>
      <c r="H11" s="32"/>
    </row>
    <row r="12" spans="1:8">
      <c r="A12" s="31">
        <v>11</v>
      </c>
      <c r="B12" s="5" t="s">
        <v>61</v>
      </c>
      <c r="C12" s="4" t="s">
        <v>62</v>
      </c>
      <c r="D12" s="4" t="s">
        <v>33</v>
      </c>
      <c r="E12" s="4" t="s">
        <v>19</v>
      </c>
      <c r="F12" s="4" t="s">
        <v>1288</v>
      </c>
      <c r="G12" s="4" t="s">
        <v>1275</v>
      </c>
      <c r="H12" s="32"/>
    </row>
    <row r="13" spans="1:8">
      <c r="A13" s="31">
        <v>12</v>
      </c>
      <c r="B13" s="5" t="s">
        <v>63</v>
      </c>
      <c r="C13" s="4" t="s">
        <v>64</v>
      </c>
      <c r="D13" s="4" t="s">
        <v>65</v>
      </c>
      <c r="E13" s="4" t="s">
        <v>19</v>
      </c>
      <c r="F13" s="4" t="s">
        <v>1289</v>
      </c>
      <c r="G13" s="4" t="s">
        <v>1290</v>
      </c>
      <c r="H13" s="32"/>
    </row>
    <row r="14" spans="1:8">
      <c r="A14" s="31">
        <v>13</v>
      </c>
      <c r="B14" s="5" t="s">
        <v>66</v>
      </c>
      <c r="C14" s="4" t="s">
        <v>67</v>
      </c>
      <c r="D14" s="4" t="s">
        <v>68</v>
      </c>
      <c r="E14" s="4" t="s">
        <v>33</v>
      </c>
      <c r="F14" s="4" t="s">
        <v>1291</v>
      </c>
      <c r="G14" s="4" t="s">
        <v>1292</v>
      </c>
      <c r="H14" s="32" t="s">
        <v>1275</v>
      </c>
    </row>
    <row r="15" spans="1:8">
      <c r="A15" s="31">
        <v>14</v>
      </c>
      <c r="B15" s="5" t="s">
        <v>69</v>
      </c>
      <c r="C15" s="4" t="s">
        <v>70</v>
      </c>
      <c r="D15" s="4" t="s">
        <v>71</v>
      </c>
      <c r="E15" s="4" t="s">
        <v>33</v>
      </c>
      <c r="F15" s="4" t="s">
        <v>1293</v>
      </c>
      <c r="G15" s="4" t="s">
        <v>1294</v>
      </c>
      <c r="H15" s="32" t="s">
        <v>1275</v>
      </c>
    </row>
    <row r="16" spans="1:8">
      <c r="A16" s="31">
        <v>15</v>
      </c>
      <c r="B16" s="5" t="s">
        <v>72</v>
      </c>
      <c r="C16" s="4" t="s">
        <v>73</v>
      </c>
      <c r="D16" s="4" t="s">
        <v>74</v>
      </c>
      <c r="E16" s="4" t="s">
        <v>33</v>
      </c>
      <c r="F16" s="4" t="s">
        <v>1295</v>
      </c>
      <c r="G16" s="4" t="s">
        <v>1296</v>
      </c>
      <c r="H16" s="32" t="s">
        <v>1275</v>
      </c>
    </row>
    <row r="17" spans="1:8">
      <c r="A17" s="31">
        <v>16</v>
      </c>
      <c r="B17" s="5" t="s">
        <v>75</v>
      </c>
      <c r="C17" s="4" t="s">
        <v>76</v>
      </c>
      <c r="D17" s="4" t="s">
        <v>77</v>
      </c>
      <c r="E17" s="4" t="s">
        <v>78</v>
      </c>
      <c r="F17" s="4" t="s">
        <v>1297</v>
      </c>
      <c r="G17" s="4" t="s">
        <v>1298</v>
      </c>
      <c r="H17" s="32" t="s">
        <v>1299</v>
      </c>
    </row>
    <row r="18" spans="1:8">
      <c r="A18" s="31">
        <v>17</v>
      </c>
      <c r="B18" s="5" t="s">
        <v>81</v>
      </c>
      <c r="C18" s="4" t="s">
        <v>82</v>
      </c>
      <c r="D18" s="4" t="s">
        <v>83</v>
      </c>
      <c r="E18" s="4" t="s">
        <v>78</v>
      </c>
      <c r="F18" s="4" t="s">
        <v>1300</v>
      </c>
      <c r="G18" s="4" t="s">
        <v>1301</v>
      </c>
      <c r="H18" s="32" t="s">
        <v>1299</v>
      </c>
    </row>
    <row r="19" spans="1:8">
      <c r="A19" s="31">
        <v>18</v>
      </c>
      <c r="B19" s="5" t="s">
        <v>84</v>
      </c>
      <c r="C19" s="4" t="s">
        <v>85</v>
      </c>
      <c r="D19" s="4" t="s">
        <v>86</v>
      </c>
      <c r="E19" s="4" t="s">
        <v>87</v>
      </c>
      <c r="F19" s="4" t="s">
        <v>1302</v>
      </c>
      <c r="G19" s="4" t="s">
        <v>1303</v>
      </c>
      <c r="H19" s="32" t="s">
        <v>1304</v>
      </c>
    </row>
    <row r="20" spans="1:8">
      <c r="A20" s="31">
        <v>19</v>
      </c>
      <c r="B20" s="5" t="s">
        <v>91</v>
      </c>
      <c r="C20" s="4" t="s">
        <v>92</v>
      </c>
      <c r="D20" s="4" t="s">
        <v>93</v>
      </c>
      <c r="E20" s="4" t="s">
        <v>19</v>
      </c>
      <c r="F20" s="4" t="s">
        <v>1305</v>
      </c>
      <c r="G20" s="4" t="s">
        <v>1306</v>
      </c>
      <c r="H20" s="32"/>
    </row>
    <row r="21" spans="1:8">
      <c r="A21" s="31">
        <v>20</v>
      </c>
      <c r="B21" s="5" t="s">
        <v>94</v>
      </c>
      <c r="C21" s="4" t="s">
        <v>95</v>
      </c>
      <c r="D21" s="4" t="s">
        <v>96</v>
      </c>
      <c r="E21" s="4" t="s">
        <v>97</v>
      </c>
      <c r="F21" s="4" t="s">
        <v>1307</v>
      </c>
      <c r="G21" s="4" t="s">
        <v>1308</v>
      </c>
      <c r="H21" s="32" t="s">
        <v>1309</v>
      </c>
    </row>
    <row r="22" spans="1:8">
      <c r="A22" s="31">
        <v>21</v>
      </c>
      <c r="B22" s="5" t="s">
        <v>98</v>
      </c>
      <c r="C22" s="4" t="s">
        <v>99</v>
      </c>
      <c r="D22" s="4" t="s">
        <v>100</v>
      </c>
      <c r="E22" s="4" t="s">
        <v>19</v>
      </c>
      <c r="F22" s="4" t="s">
        <v>1310</v>
      </c>
      <c r="G22" s="4" t="s">
        <v>1311</v>
      </c>
      <c r="H22" s="32"/>
    </row>
    <row r="23" spans="1:8">
      <c r="A23" s="31">
        <v>22</v>
      </c>
      <c r="B23" s="5" t="s">
        <v>103</v>
      </c>
      <c r="C23" s="4" t="s">
        <v>104</v>
      </c>
      <c r="D23" s="4" t="s">
        <v>105</v>
      </c>
      <c r="E23" s="4" t="s">
        <v>19</v>
      </c>
      <c r="F23" s="4" t="s">
        <v>1312</v>
      </c>
      <c r="G23" s="4" t="s">
        <v>1311</v>
      </c>
      <c r="H23" s="32"/>
    </row>
    <row r="24" spans="1:8">
      <c r="A24" s="31">
        <v>23</v>
      </c>
      <c r="B24" s="5" t="s">
        <v>106</v>
      </c>
      <c r="C24" s="4" t="s">
        <v>107</v>
      </c>
      <c r="D24" s="4" t="s">
        <v>108</v>
      </c>
      <c r="E24" s="4" t="s">
        <v>19</v>
      </c>
      <c r="F24" s="4" t="s">
        <v>1313</v>
      </c>
      <c r="G24" s="4" t="s">
        <v>1314</v>
      </c>
      <c r="H24" s="32"/>
    </row>
    <row r="25" spans="1:8">
      <c r="A25" s="31">
        <v>24</v>
      </c>
      <c r="B25" s="5" t="s">
        <v>109</v>
      </c>
      <c r="C25" s="4" t="s">
        <v>110</v>
      </c>
      <c r="D25" s="4" t="s">
        <v>111</v>
      </c>
      <c r="E25" s="4" t="s">
        <v>19</v>
      </c>
      <c r="F25" s="4" t="s">
        <v>1315</v>
      </c>
      <c r="G25" s="4" t="s">
        <v>1316</v>
      </c>
      <c r="H25" s="32"/>
    </row>
    <row r="26" spans="1:8">
      <c r="A26" s="31">
        <v>25</v>
      </c>
      <c r="B26" s="5" t="s">
        <v>112</v>
      </c>
      <c r="C26" s="4" t="s">
        <v>113</v>
      </c>
      <c r="D26" s="4" t="s">
        <v>114</v>
      </c>
      <c r="E26" s="4" t="s">
        <v>19</v>
      </c>
      <c r="F26" s="4" t="s">
        <v>1317</v>
      </c>
      <c r="G26" s="4" t="s">
        <v>1318</v>
      </c>
      <c r="H26" s="32"/>
    </row>
    <row r="27" spans="1:8">
      <c r="A27" s="31">
        <v>26</v>
      </c>
      <c r="B27" s="5" t="s">
        <v>115</v>
      </c>
      <c r="C27" s="4" t="s">
        <v>116</v>
      </c>
      <c r="D27" s="4" t="s">
        <v>117</v>
      </c>
      <c r="E27" s="4" t="s">
        <v>19</v>
      </c>
      <c r="F27" s="4" t="s">
        <v>1319</v>
      </c>
      <c r="G27" s="4" t="s">
        <v>1320</v>
      </c>
      <c r="H27" s="32"/>
    </row>
    <row r="28" spans="1:8">
      <c r="A28" s="31">
        <v>27</v>
      </c>
      <c r="B28" s="5" t="s">
        <v>118</v>
      </c>
      <c r="C28" s="4" t="s">
        <v>119</v>
      </c>
      <c r="D28" s="4" t="s">
        <v>120</v>
      </c>
      <c r="E28" s="4" t="s">
        <v>19</v>
      </c>
      <c r="F28" s="4" t="s">
        <v>1321</v>
      </c>
      <c r="G28" s="4" t="s">
        <v>1322</v>
      </c>
      <c r="H28" s="32"/>
    </row>
    <row r="29" spans="1:8">
      <c r="A29" s="31">
        <v>28</v>
      </c>
      <c r="B29" s="5" t="s">
        <v>124</v>
      </c>
      <c r="C29" s="4" t="s">
        <v>125</v>
      </c>
      <c r="D29" s="4" t="s">
        <v>33</v>
      </c>
      <c r="E29" s="4" t="s">
        <v>19</v>
      </c>
      <c r="F29" s="4" t="s">
        <v>1323</v>
      </c>
      <c r="G29" s="4" t="s">
        <v>1275</v>
      </c>
      <c r="H29" s="32"/>
    </row>
    <row r="30" spans="1:8">
      <c r="A30" s="31">
        <v>29</v>
      </c>
      <c r="B30" s="5" t="s">
        <v>126</v>
      </c>
      <c r="C30" s="4" t="s">
        <v>127</v>
      </c>
      <c r="D30" s="4" t="s">
        <v>33</v>
      </c>
      <c r="E30" s="4" t="s">
        <v>19</v>
      </c>
      <c r="F30" s="4" t="s">
        <v>1324</v>
      </c>
      <c r="G30" s="4" t="s">
        <v>1275</v>
      </c>
      <c r="H30" s="32"/>
    </row>
    <row r="31" spans="1:8">
      <c r="A31" s="31">
        <v>30</v>
      </c>
      <c r="B31" s="5" t="s">
        <v>128</v>
      </c>
      <c r="C31" s="4" t="s">
        <v>129</v>
      </c>
      <c r="D31" s="4" t="s">
        <v>130</v>
      </c>
      <c r="E31" s="4" t="s">
        <v>19</v>
      </c>
      <c r="F31" s="4" t="s">
        <v>1325</v>
      </c>
      <c r="G31" s="4" t="s">
        <v>1326</v>
      </c>
      <c r="H31" s="32"/>
    </row>
    <row r="32" spans="1:8">
      <c r="A32" s="31">
        <v>31</v>
      </c>
      <c r="B32" s="5" t="s">
        <v>133</v>
      </c>
      <c r="C32" s="4" t="s">
        <v>134</v>
      </c>
      <c r="D32" s="4" t="s">
        <v>130</v>
      </c>
      <c r="E32" s="4" t="s">
        <v>19</v>
      </c>
      <c r="F32" s="4" t="s">
        <v>1327</v>
      </c>
      <c r="G32" s="4" t="s">
        <v>1326</v>
      </c>
      <c r="H32" s="32"/>
    </row>
    <row r="33" spans="1:8">
      <c r="A33" s="31">
        <v>32</v>
      </c>
      <c r="B33" s="5" t="s">
        <v>135</v>
      </c>
      <c r="C33" s="4" t="s">
        <v>136</v>
      </c>
      <c r="D33" s="4" t="s">
        <v>130</v>
      </c>
      <c r="E33" s="4" t="s">
        <v>19</v>
      </c>
      <c r="F33" s="4" t="s">
        <v>1328</v>
      </c>
      <c r="G33" s="4" t="s">
        <v>1326</v>
      </c>
      <c r="H33" s="32"/>
    </row>
    <row r="34" spans="1:8">
      <c r="A34" s="31">
        <v>33</v>
      </c>
      <c r="B34" s="5" t="s">
        <v>137</v>
      </c>
      <c r="C34" s="4" t="s">
        <v>138</v>
      </c>
      <c r="D34" s="4" t="s">
        <v>139</v>
      </c>
      <c r="E34" s="4" t="s">
        <v>19</v>
      </c>
      <c r="F34" s="4" t="s">
        <v>1329</v>
      </c>
      <c r="G34" s="4" t="s">
        <v>1330</v>
      </c>
      <c r="H34" s="32"/>
    </row>
    <row r="35" spans="1:8">
      <c r="A35" s="31">
        <v>34</v>
      </c>
      <c r="B35" s="5" t="s">
        <v>140</v>
      </c>
      <c r="C35" s="4" t="s">
        <v>141</v>
      </c>
      <c r="D35" s="4" t="s">
        <v>142</v>
      </c>
      <c r="E35" s="4" t="s">
        <v>19</v>
      </c>
      <c r="F35" s="4" t="s">
        <v>1331</v>
      </c>
      <c r="G35" s="4" t="s">
        <v>1332</v>
      </c>
      <c r="H35" s="32"/>
    </row>
    <row r="36" spans="1:8">
      <c r="A36" s="31">
        <v>35</v>
      </c>
      <c r="B36" s="5" t="s">
        <v>143</v>
      </c>
      <c r="C36" s="4" t="s">
        <v>144</v>
      </c>
      <c r="D36" s="4" t="s">
        <v>145</v>
      </c>
      <c r="E36" s="4" t="s">
        <v>146</v>
      </c>
      <c r="F36" s="4" t="s">
        <v>1333</v>
      </c>
      <c r="G36" s="4" t="s">
        <v>1334</v>
      </c>
      <c r="H36" s="32" t="s">
        <v>1335</v>
      </c>
    </row>
    <row r="37" spans="1:8">
      <c r="A37" s="31">
        <v>36</v>
      </c>
      <c r="B37" s="5" t="s">
        <v>149</v>
      </c>
      <c r="C37" s="4" t="s">
        <v>150</v>
      </c>
      <c r="D37" s="4" t="s">
        <v>151</v>
      </c>
      <c r="E37" s="4" t="s">
        <v>19</v>
      </c>
      <c r="F37" s="4" t="s">
        <v>1336</v>
      </c>
      <c r="G37" s="4" t="s">
        <v>1286</v>
      </c>
      <c r="H37" s="32"/>
    </row>
    <row r="38" spans="1:8">
      <c r="A38" s="31">
        <v>37</v>
      </c>
      <c r="B38" s="5" t="s">
        <v>152</v>
      </c>
      <c r="C38" s="4" t="s">
        <v>153</v>
      </c>
      <c r="D38" s="4" t="s">
        <v>55</v>
      </c>
      <c r="E38" s="4" t="s">
        <v>19</v>
      </c>
      <c r="F38" s="4" t="s">
        <v>1337</v>
      </c>
      <c r="G38" s="4" t="s">
        <v>1286</v>
      </c>
      <c r="H38" s="32"/>
    </row>
    <row r="39" spans="1:8">
      <c r="A39" s="31">
        <v>38</v>
      </c>
      <c r="B39" s="5" t="s">
        <v>154</v>
      </c>
      <c r="C39" s="4" t="s">
        <v>155</v>
      </c>
      <c r="D39" s="4" t="s">
        <v>55</v>
      </c>
      <c r="E39" s="4" t="s">
        <v>19</v>
      </c>
      <c r="F39" s="4" t="s">
        <v>1338</v>
      </c>
      <c r="G39" s="4" t="s">
        <v>1286</v>
      </c>
      <c r="H39" s="32"/>
    </row>
    <row r="40" spans="1:8">
      <c r="A40" s="31">
        <v>39</v>
      </c>
      <c r="B40" s="5" t="s">
        <v>156</v>
      </c>
      <c r="C40" s="4" t="s">
        <v>157</v>
      </c>
      <c r="D40" s="4" t="s">
        <v>158</v>
      </c>
      <c r="E40" s="4" t="s">
        <v>19</v>
      </c>
      <c r="F40" s="4" t="s">
        <v>1339</v>
      </c>
      <c r="G40" s="4" t="s">
        <v>1335</v>
      </c>
      <c r="H40" s="32"/>
    </row>
    <row r="41" spans="1:8">
      <c r="A41" s="31">
        <v>40</v>
      </c>
      <c r="B41" s="5" t="s">
        <v>159</v>
      </c>
      <c r="C41" s="4" t="s">
        <v>160</v>
      </c>
      <c r="D41" s="4" t="s">
        <v>161</v>
      </c>
      <c r="E41" s="4" t="s">
        <v>130</v>
      </c>
      <c r="F41" s="4" t="s">
        <v>1340</v>
      </c>
      <c r="G41" s="4" t="s">
        <v>1341</v>
      </c>
      <c r="H41" s="32" t="s">
        <v>1326</v>
      </c>
    </row>
    <row r="42" spans="1:8">
      <c r="A42" s="31">
        <v>41</v>
      </c>
      <c r="B42" s="5" t="s">
        <v>162</v>
      </c>
      <c r="C42" s="4" t="s">
        <v>163</v>
      </c>
      <c r="D42" s="4" t="s">
        <v>164</v>
      </c>
      <c r="E42" s="4" t="s">
        <v>165</v>
      </c>
      <c r="F42" s="4" t="s">
        <v>1342</v>
      </c>
      <c r="G42" s="4" t="s">
        <v>1343</v>
      </c>
      <c r="H42" s="32" t="s">
        <v>1344</v>
      </c>
    </row>
    <row r="43" spans="1:8">
      <c r="A43" s="31">
        <v>42</v>
      </c>
      <c r="B43" s="5" t="s">
        <v>168</v>
      </c>
      <c r="C43" s="4" t="s">
        <v>169</v>
      </c>
      <c r="D43" s="4" t="s">
        <v>170</v>
      </c>
      <c r="E43" s="4" t="s">
        <v>19</v>
      </c>
      <c r="F43" s="4" t="s">
        <v>1345</v>
      </c>
      <c r="G43" s="4" t="s">
        <v>1275</v>
      </c>
      <c r="H43" s="32"/>
    </row>
    <row r="44" spans="1:8">
      <c r="A44" s="31">
        <v>43</v>
      </c>
      <c r="B44" s="5" t="s">
        <v>171</v>
      </c>
      <c r="C44" s="4" t="s">
        <v>172</v>
      </c>
      <c r="D44" s="4" t="s">
        <v>173</v>
      </c>
      <c r="E44" s="4" t="s">
        <v>55</v>
      </c>
      <c r="F44" s="4" t="s">
        <v>1346</v>
      </c>
      <c r="G44" s="4" t="s">
        <v>1347</v>
      </c>
      <c r="H44" s="32" t="s">
        <v>1286</v>
      </c>
    </row>
    <row r="45" spans="1:8">
      <c r="A45" s="31">
        <v>44</v>
      </c>
      <c r="B45" s="5" t="s">
        <v>174</v>
      </c>
      <c r="C45" s="4" t="s">
        <v>175</v>
      </c>
      <c r="D45" s="4" t="s">
        <v>176</v>
      </c>
      <c r="E45" s="4" t="s">
        <v>55</v>
      </c>
      <c r="F45" s="4" t="s">
        <v>1348</v>
      </c>
      <c r="G45" s="4" t="s">
        <v>1349</v>
      </c>
      <c r="H45" s="32" t="s">
        <v>1286</v>
      </c>
    </row>
    <row r="46" spans="1:8">
      <c r="A46" s="31">
        <v>45</v>
      </c>
      <c r="B46" s="5" t="s">
        <v>177</v>
      </c>
      <c r="C46" s="4" t="s">
        <v>178</v>
      </c>
      <c r="D46" s="4" t="s">
        <v>179</v>
      </c>
      <c r="E46" s="4" t="s">
        <v>19</v>
      </c>
      <c r="F46" s="4" t="s">
        <v>1350</v>
      </c>
      <c r="G46" s="4" t="s">
        <v>1351</v>
      </c>
      <c r="H46" s="32"/>
    </row>
    <row r="47" spans="1:8">
      <c r="A47" s="31">
        <v>46</v>
      </c>
      <c r="B47" s="5" t="s">
        <v>180</v>
      </c>
      <c r="C47" s="4" t="s">
        <v>181</v>
      </c>
      <c r="D47" s="4" t="s">
        <v>182</v>
      </c>
      <c r="E47" s="4" t="s">
        <v>183</v>
      </c>
      <c r="F47" s="4" t="s">
        <v>1352</v>
      </c>
      <c r="G47" s="4" t="s">
        <v>1353</v>
      </c>
      <c r="H47" s="32" t="s">
        <v>1354</v>
      </c>
    </row>
    <row r="48" spans="1:8">
      <c r="A48" s="31">
        <v>47</v>
      </c>
      <c r="B48" s="5" t="s">
        <v>186</v>
      </c>
      <c r="C48" s="4" t="s">
        <v>187</v>
      </c>
      <c r="D48" s="4" t="s">
        <v>188</v>
      </c>
      <c r="E48" s="4" t="s">
        <v>130</v>
      </c>
      <c r="F48" s="4" t="s">
        <v>1355</v>
      </c>
      <c r="G48" s="4" t="s">
        <v>1356</v>
      </c>
      <c r="H48" s="32" t="s">
        <v>1326</v>
      </c>
    </row>
    <row r="49" spans="1:8">
      <c r="A49" s="31">
        <v>48</v>
      </c>
      <c r="B49" s="5" t="s">
        <v>189</v>
      </c>
      <c r="C49" s="4" t="s">
        <v>190</v>
      </c>
      <c r="D49" s="4" t="s">
        <v>191</v>
      </c>
      <c r="E49" s="4" t="s">
        <v>130</v>
      </c>
      <c r="F49" s="4" t="s">
        <v>1357</v>
      </c>
      <c r="G49" s="4" t="s">
        <v>1354</v>
      </c>
      <c r="H49" s="32" t="s">
        <v>1326</v>
      </c>
    </row>
    <row r="50" spans="1:8">
      <c r="A50" s="31">
        <v>49</v>
      </c>
      <c r="B50" s="5" t="s">
        <v>192</v>
      </c>
      <c r="C50" s="4" t="s">
        <v>193</v>
      </c>
      <c r="D50" s="4" t="s">
        <v>194</v>
      </c>
      <c r="E50" s="4" t="s">
        <v>130</v>
      </c>
      <c r="F50" s="4" t="s">
        <v>1358</v>
      </c>
      <c r="G50" s="4" t="s">
        <v>1359</v>
      </c>
      <c r="H50" s="32" t="s">
        <v>1326</v>
      </c>
    </row>
    <row r="51" spans="1:8">
      <c r="A51" s="31">
        <v>50</v>
      </c>
      <c r="B51" s="5" t="s">
        <v>195</v>
      </c>
      <c r="C51" s="4" t="s">
        <v>196</v>
      </c>
      <c r="D51" s="4" t="s">
        <v>120</v>
      </c>
      <c r="E51" s="4" t="s">
        <v>19</v>
      </c>
      <c r="F51" s="4" t="s">
        <v>1360</v>
      </c>
      <c r="G51" s="4" t="s">
        <v>1322</v>
      </c>
      <c r="H51" s="32"/>
    </row>
    <row r="52" spans="1:8">
      <c r="A52" s="31">
        <v>51</v>
      </c>
      <c r="B52" s="5" t="s">
        <v>197</v>
      </c>
      <c r="C52" s="4" t="s">
        <v>198</v>
      </c>
      <c r="D52" s="4" t="s">
        <v>199</v>
      </c>
      <c r="E52" s="4" t="s">
        <v>120</v>
      </c>
      <c r="F52" s="4" t="s">
        <v>1361</v>
      </c>
      <c r="G52" s="4" t="s">
        <v>1362</v>
      </c>
      <c r="H52" s="32" t="s">
        <v>1322</v>
      </c>
    </row>
    <row r="53" spans="1:8">
      <c r="A53" s="31">
        <v>52</v>
      </c>
      <c r="B53" s="5" t="s">
        <v>200</v>
      </c>
      <c r="C53" s="4" t="s">
        <v>201</v>
      </c>
      <c r="D53" s="4" t="s">
        <v>202</v>
      </c>
      <c r="E53" s="4" t="s">
        <v>130</v>
      </c>
      <c r="F53" s="4" t="s">
        <v>1363</v>
      </c>
      <c r="G53" s="4" t="s">
        <v>1364</v>
      </c>
      <c r="H53" s="32" t="s">
        <v>1326</v>
      </c>
    </row>
    <row r="54" spans="1:8">
      <c r="A54" s="31">
        <v>53</v>
      </c>
      <c r="B54" s="5" t="s">
        <v>203</v>
      </c>
      <c r="C54" s="4" t="s">
        <v>204</v>
      </c>
      <c r="D54" s="4" t="s">
        <v>130</v>
      </c>
      <c r="E54" s="4" t="s">
        <v>19</v>
      </c>
      <c r="F54" s="4" t="s">
        <v>1365</v>
      </c>
      <c r="G54" s="4" t="s">
        <v>1326</v>
      </c>
      <c r="H54" s="32"/>
    </row>
    <row r="55" spans="1:8">
      <c r="A55" s="31">
        <v>54</v>
      </c>
      <c r="B55" s="5" t="s">
        <v>205</v>
      </c>
      <c r="C55" s="4" t="s">
        <v>206</v>
      </c>
      <c r="D55" s="4" t="s">
        <v>207</v>
      </c>
      <c r="E55" s="4" t="s">
        <v>130</v>
      </c>
      <c r="F55" s="4" t="s">
        <v>1366</v>
      </c>
      <c r="G55" s="4" t="s">
        <v>1367</v>
      </c>
      <c r="H55" s="32" t="s">
        <v>1326</v>
      </c>
    </row>
    <row r="56" spans="1:8">
      <c r="A56" s="31">
        <v>55</v>
      </c>
      <c r="B56" s="5" t="s">
        <v>208</v>
      </c>
      <c r="C56" s="4" t="s">
        <v>209</v>
      </c>
      <c r="D56" s="4" t="s">
        <v>210</v>
      </c>
      <c r="E56" s="4" t="s">
        <v>19</v>
      </c>
      <c r="F56" s="4" t="s">
        <v>1368</v>
      </c>
      <c r="G56" s="4" t="s">
        <v>1369</v>
      </c>
      <c r="H56" s="32"/>
    </row>
    <row r="57" spans="1:8">
      <c r="A57" s="31">
        <v>56</v>
      </c>
      <c r="B57" s="5" t="s">
        <v>214</v>
      </c>
      <c r="C57" s="4" t="s">
        <v>215</v>
      </c>
      <c r="D57" s="4" t="s">
        <v>216</v>
      </c>
      <c r="E57" s="4" t="s">
        <v>19</v>
      </c>
      <c r="F57" s="4" t="s">
        <v>1370</v>
      </c>
      <c r="G57" s="4" t="s">
        <v>1371</v>
      </c>
      <c r="H57" s="32"/>
    </row>
    <row r="58" spans="1:8">
      <c r="A58" s="31">
        <v>57</v>
      </c>
      <c r="B58" s="5" t="s">
        <v>217</v>
      </c>
      <c r="C58" s="4" t="s">
        <v>218</v>
      </c>
      <c r="D58" s="4" t="s">
        <v>219</v>
      </c>
      <c r="E58" s="4" t="s">
        <v>33</v>
      </c>
      <c r="F58" s="4" t="s">
        <v>1372</v>
      </c>
      <c r="G58" s="4" t="s">
        <v>1373</v>
      </c>
      <c r="H58" s="32" t="s">
        <v>1275</v>
      </c>
    </row>
    <row r="59" spans="1:8">
      <c r="A59" s="31">
        <v>58</v>
      </c>
      <c r="B59" s="5" t="s">
        <v>220</v>
      </c>
      <c r="C59" s="4" t="s">
        <v>221</v>
      </c>
      <c r="D59" s="4" t="s">
        <v>222</v>
      </c>
      <c r="E59" s="4" t="s">
        <v>19</v>
      </c>
      <c r="F59" s="4" t="s">
        <v>1374</v>
      </c>
      <c r="G59" s="4" t="s">
        <v>1375</v>
      </c>
      <c r="H59" s="32"/>
    </row>
    <row r="60" spans="1:8">
      <c r="A60" s="31">
        <v>59</v>
      </c>
      <c r="B60" s="5" t="s">
        <v>223</v>
      </c>
      <c r="C60" s="4" t="s">
        <v>224</v>
      </c>
      <c r="D60" s="4" t="s">
        <v>225</v>
      </c>
      <c r="E60" s="4" t="s">
        <v>19</v>
      </c>
      <c r="F60" s="4" t="s">
        <v>1376</v>
      </c>
      <c r="G60" s="4" t="s">
        <v>1377</v>
      </c>
      <c r="H60" s="32"/>
    </row>
    <row r="61" spans="1:8">
      <c r="A61" s="31">
        <v>60</v>
      </c>
      <c r="B61" s="5" t="s">
        <v>228</v>
      </c>
      <c r="C61" s="4" t="s">
        <v>229</v>
      </c>
      <c r="D61" s="4" t="s">
        <v>230</v>
      </c>
      <c r="E61" s="4" t="s">
        <v>19</v>
      </c>
      <c r="F61" s="4" t="s">
        <v>1378</v>
      </c>
      <c r="G61" s="4" t="s">
        <v>1379</v>
      </c>
      <c r="H61" s="32"/>
    </row>
    <row r="62" spans="1:8" ht="27.6">
      <c r="A62" s="31">
        <v>61</v>
      </c>
      <c r="B62" s="5" t="s">
        <v>231</v>
      </c>
      <c r="C62" s="4" t="s">
        <v>232</v>
      </c>
      <c r="D62" s="4" t="s">
        <v>233</v>
      </c>
      <c r="E62" s="4" t="s">
        <v>234</v>
      </c>
      <c r="F62" s="4" t="s">
        <v>1380</v>
      </c>
      <c r="G62" s="4" t="s">
        <v>1381</v>
      </c>
      <c r="H62" s="32" t="s">
        <v>1382</v>
      </c>
    </row>
    <row r="63" spans="1:8">
      <c r="A63" s="31">
        <v>62</v>
      </c>
      <c r="B63" s="5" t="s">
        <v>237</v>
      </c>
      <c r="C63" s="4" t="s">
        <v>238</v>
      </c>
      <c r="D63" s="4" t="s">
        <v>239</v>
      </c>
      <c r="E63" s="4" t="s">
        <v>19</v>
      </c>
      <c r="F63" s="4" t="s">
        <v>1383</v>
      </c>
      <c r="G63" s="4" t="s">
        <v>1384</v>
      </c>
      <c r="H63" s="32"/>
    </row>
    <row r="64" spans="1:8">
      <c r="A64" s="31">
        <v>63</v>
      </c>
      <c r="B64" s="5" t="s">
        <v>240</v>
      </c>
      <c r="C64" s="4" t="s">
        <v>241</v>
      </c>
      <c r="D64" s="4" t="s">
        <v>242</v>
      </c>
      <c r="E64" s="4" t="s">
        <v>19</v>
      </c>
      <c r="F64" s="4" t="s">
        <v>1385</v>
      </c>
      <c r="G64" s="4" t="s">
        <v>1386</v>
      </c>
      <c r="H64" s="32"/>
    </row>
    <row r="65" spans="1:8">
      <c r="A65" s="31">
        <v>64</v>
      </c>
      <c r="B65" s="5" t="s">
        <v>245</v>
      </c>
      <c r="C65" s="4" t="s">
        <v>246</v>
      </c>
      <c r="D65" s="4" t="s">
        <v>247</v>
      </c>
      <c r="E65" s="4" t="s">
        <v>19</v>
      </c>
      <c r="F65" s="4" t="s">
        <v>1387</v>
      </c>
      <c r="G65" s="4" t="s">
        <v>1388</v>
      </c>
      <c r="H65" s="32"/>
    </row>
    <row r="66" spans="1:8">
      <c r="A66" s="31">
        <v>65</v>
      </c>
      <c r="B66" s="5" t="s">
        <v>248</v>
      </c>
      <c r="C66" s="4" t="s">
        <v>249</v>
      </c>
      <c r="D66" s="4" t="s">
        <v>250</v>
      </c>
      <c r="E66" s="4" t="s">
        <v>19</v>
      </c>
      <c r="F66" s="4" t="s">
        <v>1389</v>
      </c>
      <c r="G66" s="4" t="s">
        <v>1390</v>
      </c>
      <c r="H66" s="32"/>
    </row>
    <row r="67" spans="1:8">
      <c r="A67" s="31">
        <v>66</v>
      </c>
      <c r="B67" s="5" t="s">
        <v>251</v>
      </c>
      <c r="C67" s="4" t="s">
        <v>252</v>
      </c>
      <c r="D67" s="4" t="s">
        <v>253</v>
      </c>
      <c r="E67" s="4" t="s">
        <v>19</v>
      </c>
      <c r="F67" s="4" t="s">
        <v>1391</v>
      </c>
      <c r="G67" s="4" t="s">
        <v>1392</v>
      </c>
      <c r="H67" s="32"/>
    </row>
    <row r="68" spans="1:8">
      <c r="A68" s="31">
        <v>67</v>
      </c>
      <c r="B68" s="5" t="s">
        <v>256</v>
      </c>
      <c r="C68" s="4" t="s">
        <v>257</v>
      </c>
      <c r="D68" s="4" t="s">
        <v>258</v>
      </c>
      <c r="E68" s="4" t="s">
        <v>19</v>
      </c>
      <c r="F68" s="4" t="s">
        <v>1393</v>
      </c>
      <c r="G68" s="4" t="s">
        <v>1394</v>
      </c>
      <c r="H68" s="32"/>
    </row>
    <row r="69" spans="1:8">
      <c r="A69" s="31">
        <v>68</v>
      </c>
      <c r="B69" s="5" t="s">
        <v>259</v>
      </c>
      <c r="C69" s="4" t="s">
        <v>260</v>
      </c>
      <c r="D69" s="4" t="s">
        <v>261</v>
      </c>
      <c r="E69" s="4" t="s">
        <v>19</v>
      </c>
      <c r="F69" s="4" t="s">
        <v>1395</v>
      </c>
      <c r="G69" s="4" t="s">
        <v>1396</v>
      </c>
      <c r="H69" s="32"/>
    </row>
    <row r="70" spans="1:8">
      <c r="A70" s="31">
        <v>69</v>
      </c>
      <c r="B70" s="5" t="s">
        <v>264</v>
      </c>
      <c r="C70" s="4" t="s">
        <v>265</v>
      </c>
      <c r="D70" s="4" t="s">
        <v>266</v>
      </c>
      <c r="E70" s="4" t="s">
        <v>267</v>
      </c>
      <c r="F70" s="4" t="s">
        <v>1397</v>
      </c>
      <c r="G70" s="4" t="s">
        <v>1398</v>
      </c>
      <c r="H70" s="32" t="s">
        <v>1347</v>
      </c>
    </row>
    <row r="71" spans="1:8">
      <c r="A71" s="31">
        <v>70</v>
      </c>
      <c r="B71" s="5" t="s">
        <v>268</v>
      </c>
      <c r="C71" s="4" t="s">
        <v>269</v>
      </c>
      <c r="D71" s="4" t="s">
        <v>270</v>
      </c>
      <c r="E71" s="4" t="s">
        <v>267</v>
      </c>
      <c r="F71" s="4" t="s">
        <v>1399</v>
      </c>
      <c r="G71" s="4" t="s">
        <v>1400</v>
      </c>
      <c r="H71" s="32" t="s">
        <v>1347</v>
      </c>
    </row>
    <row r="72" spans="1:8">
      <c r="A72" s="31">
        <v>71</v>
      </c>
      <c r="B72" s="5" t="s">
        <v>271</v>
      </c>
      <c r="C72" s="4" t="s">
        <v>272</v>
      </c>
      <c r="D72" s="4" t="s">
        <v>273</v>
      </c>
      <c r="E72" s="4" t="s">
        <v>33</v>
      </c>
      <c r="F72" s="4" t="s">
        <v>1401</v>
      </c>
      <c r="G72" s="4" t="s">
        <v>1402</v>
      </c>
      <c r="H72" s="32" t="s">
        <v>1275</v>
      </c>
    </row>
    <row r="73" spans="1:8">
      <c r="A73" s="31">
        <v>72</v>
      </c>
      <c r="B73" s="5" t="s">
        <v>274</v>
      </c>
      <c r="C73" s="4" t="s">
        <v>275</v>
      </c>
      <c r="D73" s="4" t="s">
        <v>276</v>
      </c>
      <c r="E73" s="4" t="s">
        <v>33</v>
      </c>
      <c r="F73" s="4" t="s">
        <v>1403</v>
      </c>
      <c r="G73" s="4" t="s">
        <v>1404</v>
      </c>
      <c r="H73" s="32" t="s">
        <v>1275</v>
      </c>
    </row>
    <row r="74" spans="1:8">
      <c r="A74" s="31">
        <v>73</v>
      </c>
      <c r="B74" s="5" t="s">
        <v>277</v>
      </c>
      <c r="C74" s="4" t="s">
        <v>278</v>
      </c>
      <c r="D74" s="4" t="s">
        <v>279</v>
      </c>
      <c r="E74" s="4" t="s">
        <v>280</v>
      </c>
      <c r="F74" s="4" t="s">
        <v>1405</v>
      </c>
      <c r="G74" s="4" t="s">
        <v>1406</v>
      </c>
      <c r="H74" s="32" t="s">
        <v>1344</v>
      </c>
    </row>
    <row r="75" spans="1:8">
      <c r="A75" s="31">
        <v>74</v>
      </c>
      <c r="B75" s="5" t="s">
        <v>283</v>
      </c>
      <c r="C75" s="4" t="s">
        <v>284</v>
      </c>
      <c r="D75" s="4" t="s">
        <v>285</v>
      </c>
      <c r="E75" s="4" t="s">
        <v>19</v>
      </c>
      <c r="F75" s="4" t="s">
        <v>1407</v>
      </c>
      <c r="G75" s="4" t="s">
        <v>1408</v>
      </c>
      <c r="H75" s="32"/>
    </row>
    <row r="76" spans="1:8">
      <c r="A76" s="31">
        <v>75</v>
      </c>
      <c r="B76" s="5" t="s">
        <v>286</v>
      </c>
      <c r="C76" s="4" t="s">
        <v>287</v>
      </c>
      <c r="D76" s="4" t="s">
        <v>288</v>
      </c>
      <c r="E76" s="4" t="s">
        <v>33</v>
      </c>
      <c r="F76" s="4" t="s">
        <v>1409</v>
      </c>
      <c r="G76" s="4" t="s">
        <v>1410</v>
      </c>
      <c r="H76" s="32" t="s">
        <v>1275</v>
      </c>
    </row>
    <row r="77" spans="1:8">
      <c r="A77" s="31">
        <v>76</v>
      </c>
      <c r="B77" s="5" t="s">
        <v>289</v>
      </c>
      <c r="C77" s="4" t="s">
        <v>290</v>
      </c>
      <c r="D77" s="4" t="s">
        <v>291</v>
      </c>
      <c r="E77" s="4" t="s">
        <v>33</v>
      </c>
      <c r="F77" s="4" t="s">
        <v>1411</v>
      </c>
      <c r="G77" s="4" t="s">
        <v>1412</v>
      </c>
      <c r="H77" s="32" t="s">
        <v>1275</v>
      </c>
    </row>
    <row r="78" spans="1:8">
      <c r="A78" s="31">
        <v>77</v>
      </c>
      <c r="B78" s="5" t="s">
        <v>292</v>
      </c>
      <c r="C78" s="4" t="s">
        <v>293</v>
      </c>
      <c r="D78" s="4" t="s">
        <v>294</v>
      </c>
      <c r="E78" s="4" t="s">
        <v>295</v>
      </c>
      <c r="F78" s="4" t="s">
        <v>1413</v>
      </c>
      <c r="G78" s="4" t="s">
        <v>1414</v>
      </c>
      <c r="H78" s="32" t="s">
        <v>1415</v>
      </c>
    </row>
    <row r="79" spans="1:8">
      <c r="A79" s="31">
        <v>78</v>
      </c>
      <c r="B79" s="5" t="s">
        <v>298</v>
      </c>
      <c r="C79" s="4" t="s">
        <v>299</v>
      </c>
      <c r="D79" s="4" t="s">
        <v>300</v>
      </c>
      <c r="E79" s="4" t="s">
        <v>295</v>
      </c>
      <c r="F79" s="4" t="s">
        <v>1416</v>
      </c>
      <c r="G79" s="4" t="s">
        <v>1417</v>
      </c>
      <c r="H79" s="32" t="s">
        <v>1415</v>
      </c>
    </row>
    <row r="80" spans="1:8">
      <c r="A80" s="31">
        <v>79</v>
      </c>
      <c r="B80" s="5" t="s">
        <v>301</v>
      </c>
      <c r="C80" s="4" t="s">
        <v>302</v>
      </c>
      <c r="D80" s="4" t="s">
        <v>303</v>
      </c>
      <c r="E80" s="4" t="s">
        <v>19</v>
      </c>
      <c r="F80" s="4" t="s">
        <v>1418</v>
      </c>
      <c r="G80" s="4" t="s">
        <v>1322</v>
      </c>
      <c r="H80" s="32"/>
    </row>
    <row r="81" spans="1:8">
      <c r="A81" s="31">
        <v>80</v>
      </c>
      <c r="B81" s="5" t="s">
        <v>304</v>
      </c>
      <c r="C81" s="4" t="s">
        <v>305</v>
      </c>
      <c r="D81" s="4" t="s">
        <v>306</v>
      </c>
      <c r="E81" s="4" t="s">
        <v>234</v>
      </c>
      <c r="F81" s="4" t="s">
        <v>1419</v>
      </c>
      <c r="G81" s="4" t="s">
        <v>1420</v>
      </c>
      <c r="H81" s="32" t="s">
        <v>1382</v>
      </c>
    </row>
    <row r="82" spans="1:8">
      <c r="A82" s="31">
        <v>81</v>
      </c>
      <c r="B82" s="5" t="s">
        <v>307</v>
      </c>
      <c r="C82" s="4" t="s">
        <v>308</v>
      </c>
      <c r="D82" s="4" t="s">
        <v>309</v>
      </c>
      <c r="E82" s="4" t="s">
        <v>234</v>
      </c>
      <c r="F82" s="4" t="s">
        <v>1421</v>
      </c>
      <c r="G82" s="4" t="s">
        <v>1422</v>
      </c>
      <c r="H82" s="32" t="s">
        <v>1382</v>
      </c>
    </row>
    <row r="83" spans="1:8">
      <c r="A83" s="31">
        <v>82</v>
      </c>
      <c r="B83" s="5" t="s">
        <v>310</v>
      </c>
      <c r="C83" s="4" t="s">
        <v>311</v>
      </c>
      <c r="D83" s="4" t="s">
        <v>312</v>
      </c>
      <c r="E83" s="4" t="s">
        <v>234</v>
      </c>
      <c r="F83" s="4" t="s">
        <v>1423</v>
      </c>
      <c r="G83" s="4" t="s">
        <v>1424</v>
      </c>
      <c r="H83" s="32" t="s">
        <v>1382</v>
      </c>
    </row>
    <row r="84" spans="1:8">
      <c r="A84" s="31">
        <v>83</v>
      </c>
      <c r="B84" s="5" t="s">
        <v>313</v>
      </c>
      <c r="C84" s="4" t="s">
        <v>314</v>
      </c>
      <c r="D84" s="4" t="s">
        <v>315</v>
      </c>
      <c r="E84" s="4" t="s">
        <v>19</v>
      </c>
      <c r="F84" s="4" t="s">
        <v>1425</v>
      </c>
      <c r="G84" s="4" t="s">
        <v>1426</v>
      </c>
      <c r="H84" s="32"/>
    </row>
    <row r="85" spans="1:8">
      <c r="A85" s="31">
        <v>84</v>
      </c>
      <c r="B85" s="5" t="s">
        <v>316</v>
      </c>
      <c r="C85" s="4" t="s">
        <v>317</v>
      </c>
      <c r="D85" s="4" t="s">
        <v>318</v>
      </c>
      <c r="E85" s="4" t="s">
        <v>28</v>
      </c>
      <c r="F85" s="4" t="s">
        <v>1427</v>
      </c>
      <c r="G85" s="4" t="s">
        <v>1428</v>
      </c>
      <c r="H85" s="32" t="s">
        <v>1273</v>
      </c>
    </row>
    <row r="86" spans="1:8">
      <c r="A86" s="31">
        <v>85</v>
      </c>
      <c r="B86" s="5" t="s">
        <v>319</v>
      </c>
      <c r="C86" s="4" t="s">
        <v>320</v>
      </c>
      <c r="D86" s="4" t="s">
        <v>321</v>
      </c>
      <c r="E86" s="4" t="s">
        <v>28</v>
      </c>
      <c r="F86" s="4" t="s">
        <v>1429</v>
      </c>
      <c r="G86" s="4" t="s">
        <v>1430</v>
      </c>
      <c r="H86" s="32" t="s">
        <v>1273</v>
      </c>
    </row>
    <row r="87" spans="1:8">
      <c r="A87" s="31">
        <v>86</v>
      </c>
      <c r="B87" s="5" t="s">
        <v>322</v>
      </c>
      <c r="C87" s="4" t="s">
        <v>323</v>
      </c>
      <c r="D87" s="4" t="s">
        <v>253</v>
      </c>
      <c r="E87" s="4" t="s">
        <v>19</v>
      </c>
      <c r="F87" s="4" t="s">
        <v>1431</v>
      </c>
      <c r="G87" s="4" t="s">
        <v>1392</v>
      </c>
      <c r="H87" s="32"/>
    </row>
    <row r="88" spans="1:8">
      <c r="A88" s="31">
        <v>87</v>
      </c>
      <c r="B88" s="5" t="s">
        <v>324</v>
      </c>
      <c r="C88" s="4" t="s">
        <v>325</v>
      </c>
      <c r="D88" s="4" t="s">
        <v>326</v>
      </c>
      <c r="E88" s="4" t="s">
        <v>253</v>
      </c>
      <c r="F88" s="4" t="s">
        <v>1432</v>
      </c>
      <c r="G88" s="4" t="s">
        <v>1433</v>
      </c>
      <c r="H88" s="32" t="s">
        <v>1392</v>
      </c>
    </row>
    <row r="89" spans="1:8">
      <c r="A89" s="31">
        <v>88</v>
      </c>
      <c r="B89" s="5" t="s">
        <v>327</v>
      </c>
      <c r="C89" s="4" t="s">
        <v>328</v>
      </c>
      <c r="D89" s="4" t="s">
        <v>329</v>
      </c>
      <c r="E89" s="4" t="s">
        <v>28</v>
      </c>
      <c r="F89" s="4" t="s">
        <v>1434</v>
      </c>
      <c r="G89" s="4" t="s">
        <v>1435</v>
      </c>
      <c r="H89" s="32" t="s">
        <v>1273</v>
      </c>
    </row>
    <row r="90" spans="1:8">
      <c r="A90" s="31">
        <v>89</v>
      </c>
      <c r="B90" s="5" t="s">
        <v>330</v>
      </c>
      <c r="C90" s="4" t="s">
        <v>331</v>
      </c>
      <c r="D90" s="4" t="s">
        <v>332</v>
      </c>
      <c r="E90" s="4" t="s">
        <v>28</v>
      </c>
      <c r="F90" s="4" t="s">
        <v>1436</v>
      </c>
      <c r="G90" s="4" t="s">
        <v>1437</v>
      </c>
      <c r="H90" s="32" t="s">
        <v>1273</v>
      </c>
    </row>
    <row r="91" spans="1:8">
      <c r="A91" s="31">
        <v>90</v>
      </c>
      <c r="B91" s="5" t="s">
        <v>333</v>
      </c>
      <c r="C91" s="4" t="s">
        <v>334</v>
      </c>
      <c r="D91" s="4" t="s">
        <v>335</v>
      </c>
      <c r="E91" s="4" t="s">
        <v>19</v>
      </c>
      <c r="F91" s="4" t="s">
        <v>1438</v>
      </c>
      <c r="G91" s="4" t="s">
        <v>1439</v>
      </c>
      <c r="H91" s="32"/>
    </row>
    <row r="92" spans="1:8">
      <c r="A92" s="31">
        <v>91</v>
      </c>
      <c r="B92" s="5" t="s">
        <v>336</v>
      </c>
      <c r="C92" s="4" t="s">
        <v>337</v>
      </c>
      <c r="D92" s="4" t="s">
        <v>338</v>
      </c>
      <c r="E92" s="4" t="s">
        <v>19</v>
      </c>
      <c r="F92" s="4" t="s">
        <v>1440</v>
      </c>
      <c r="G92" s="4" t="s">
        <v>1441</v>
      </c>
      <c r="H92" s="32"/>
    </row>
    <row r="93" spans="1:8">
      <c r="A93" s="31">
        <v>92</v>
      </c>
      <c r="B93" s="5" t="s">
        <v>339</v>
      </c>
      <c r="C93" s="4" t="s">
        <v>340</v>
      </c>
      <c r="D93" s="4" t="s">
        <v>341</v>
      </c>
      <c r="E93" s="4" t="s">
        <v>342</v>
      </c>
      <c r="F93" s="4" t="s">
        <v>1442</v>
      </c>
      <c r="G93" s="4" t="s">
        <v>1443</v>
      </c>
      <c r="H93" s="32" t="s">
        <v>1444</v>
      </c>
    </row>
    <row r="94" spans="1:8">
      <c r="A94" s="31">
        <v>93</v>
      </c>
      <c r="B94" s="5" t="s">
        <v>343</v>
      </c>
      <c r="C94" s="4" t="s">
        <v>344</v>
      </c>
      <c r="D94" s="4" t="s">
        <v>345</v>
      </c>
      <c r="E94" s="4" t="s">
        <v>19</v>
      </c>
      <c r="F94" s="4" t="s">
        <v>1445</v>
      </c>
      <c r="G94" s="4" t="s">
        <v>1446</v>
      </c>
      <c r="H94" s="32"/>
    </row>
    <row r="95" spans="1:8">
      <c r="A95" s="31">
        <v>94</v>
      </c>
      <c r="B95" s="5" t="s">
        <v>346</v>
      </c>
      <c r="C95" s="4" t="s">
        <v>347</v>
      </c>
      <c r="D95" s="4" t="s">
        <v>348</v>
      </c>
      <c r="E95" s="4" t="s">
        <v>165</v>
      </c>
      <c r="F95" s="4" t="s">
        <v>1447</v>
      </c>
      <c r="G95" s="4" t="s">
        <v>1448</v>
      </c>
      <c r="H95" s="32" t="s">
        <v>1344</v>
      </c>
    </row>
    <row r="96" spans="1:8">
      <c r="A96" s="31">
        <v>95</v>
      </c>
      <c r="B96" s="5" t="s">
        <v>349</v>
      </c>
      <c r="C96" s="4" t="s">
        <v>350</v>
      </c>
      <c r="D96" s="4" t="s">
        <v>351</v>
      </c>
      <c r="E96" s="4" t="s">
        <v>165</v>
      </c>
      <c r="F96" s="4" t="s">
        <v>1449</v>
      </c>
      <c r="G96" s="4" t="s">
        <v>1450</v>
      </c>
      <c r="H96" s="32" t="s">
        <v>1344</v>
      </c>
    </row>
    <row r="97" spans="1:8">
      <c r="A97" s="31">
        <v>96</v>
      </c>
      <c r="B97" s="5" t="s">
        <v>352</v>
      </c>
      <c r="C97" s="4" t="s">
        <v>353</v>
      </c>
      <c r="D97" s="4" t="s">
        <v>354</v>
      </c>
      <c r="E97" s="4" t="s">
        <v>19</v>
      </c>
      <c r="F97" s="4" t="s">
        <v>1451</v>
      </c>
      <c r="G97" s="4" t="s">
        <v>1452</v>
      </c>
      <c r="H97" s="32"/>
    </row>
    <row r="98" spans="1:8">
      <c r="A98" s="31">
        <v>97</v>
      </c>
      <c r="B98" s="5" t="s">
        <v>355</v>
      </c>
      <c r="C98" s="4" t="s">
        <v>356</v>
      </c>
      <c r="D98" s="4" t="s">
        <v>253</v>
      </c>
      <c r="E98" s="4" t="s">
        <v>19</v>
      </c>
      <c r="F98" s="4" t="s">
        <v>1453</v>
      </c>
      <c r="G98" s="4" t="s">
        <v>1392</v>
      </c>
      <c r="H98" s="32"/>
    </row>
    <row r="99" spans="1:8">
      <c r="A99" s="31">
        <v>98</v>
      </c>
      <c r="B99" s="5" t="s">
        <v>357</v>
      </c>
      <c r="C99" s="4" t="s">
        <v>358</v>
      </c>
      <c r="D99" s="4" t="s">
        <v>253</v>
      </c>
      <c r="E99" s="4" t="s">
        <v>19</v>
      </c>
      <c r="F99" s="4" t="s">
        <v>1454</v>
      </c>
      <c r="G99" s="4" t="s">
        <v>1392</v>
      </c>
      <c r="H99" s="32"/>
    </row>
    <row r="100" spans="1:8">
      <c r="A100" s="31">
        <v>99</v>
      </c>
      <c r="B100" s="5" t="s">
        <v>359</v>
      </c>
      <c r="C100" s="4" t="s">
        <v>360</v>
      </c>
      <c r="D100" s="4" t="s">
        <v>253</v>
      </c>
      <c r="E100" s="4" t="s">
        <v>19</v>
      </c>
      <c r="F100" s="4" t="s">
        <v>1455</v>
      </c>
      <c r="G100" s="4" t="s">
        <v>1392</v>
      </c>
      <c r="H100" s="32"/>
    </row>
    <row r="101" spans="1:8">
      <c r="A101" s="31">
        <v>100</v>
      </c>
      <c r="B101" s="5" t="s">
        <v>361</v>
      </c>
      <c r="C101" s="4" t="s">
        <v>362</v>
      </c>
      <c r="D101" s="4" t="s">
        <v>363</v>
      </c>
      <c r="E101" s="4" t="s">
        <v>19</v>
      </c>
      <c r="F101" s="4" t="s">
        <v>1456</v>
      </c>
      <c r="G101" s="4" t="s">
        <v>1457</v>
      </c>
      <c r="H101" s="32"/>
    </row>
    <row r="102" spans="1:8">
      <c r="A102" s="31">
        <v>101</v>
      </c>
      <c r="B102" s="5" t="s">
        <v>364</v>
      </c>
      <c r="C102" s="4" t="s">
        <v>365</v>
      </c>
      <c r="D102" s="4" t="s">
        <v>366</v>
      </c>
      <c r="E102" s="4" t="s">
        <v>19</v>
      </c>
      <c r="F102" s="4" t="s">
        <v>1458</v>
      </c>
      <c r="G102" s="4" t="s">
        <v>1459</v>
      </c>
      <c r="H102" s="32"/>
    </row>
    <row r="103" spans="1:8">
      <c r="A103" s="31">
        <v>102</v>
      </c>
      <c r="B103" s="5" t="s">
        <v>367</v>
      </c>
      <c r="C103" s="4" t="s">
        <v>368</v>
      </c>
      <c r="D103" s="4" t="s">
        <v>369</v>
      </c>
      <c r="E103" s="4" t="s">
        <v>253</v>
      </c>
      <c r="F103" s="4" t="s">
        <v>1460</v>
      </c>
      <c r="G103" s="4" t="s">
        <v>1461</v>
      </c>
      <c r="H103" s="32" t="s">
        <v>1392</v>
      </c>
    </row>
    <row r="104" spans="1:8">
      <c r="A104" s="31">
        <v>103</v>
      </c>
      <c r="B104" s="5" t="s">
        <v>370</v>
      </c>
      <c r="C104" s="4" t="s">
        <v>371</v>
      </c>
      <c r="D104" s="4" t="s">
        <v>372</v>
      </c>
      <c r="E104" s="4" t="s">
        <v>253</v>
      </c>
      <c r="F104" s="4" t="s">
        <v>1462</v>
      </c>
      <c r="G104" s="4" t="s">
        <v>1463</v>
      </c>
      <c r="H104" s="32" t="s">
        <v>1392</v>
      </c>
    </row>
    <row r="105" spans="1:8">
      <c r="A105" s="31">
        <v>104</v>
      </c>
      <c r="B105" s="5" t="s">
        <v>373</v>
      </c>
      <c r="C105" s="4" t="s">
        <v>374</v>
      </c>
      <c r="D105" s="4" t="s">
        <v>375</v>
      </c>
      <c r="E105" s="4" t="s">
        <v>19</v>
      </c>
      <c r="F105" s="4" t="s">
        <v>1464</v>
      </c>
      <c r="G105" s="4" t="s">
        <v>1465</v>
      </c>
      <c r="H105" s="32"/>
    </row>
    <row r="106" spans="1:8">
      <c r="A106" s="31">
        <v>105</v>
      </c>
      <c r="B106" s="5" t="s">
        <v>376</v>
      </c>
      <c r="C106" s="4" t="s">
        <v>377</v>
      </c>
      <c r="D106" s="4" t="s">
        <v>378</v>
      </c>
      <c r="E106" s="4" t="s">
        <v>19</v>
      </c>
      <c r="F106" s="4" t="s">
        <v>1466</v>
      </c>
      <c r="G106" s="4" t="s">
        <v>1467</v>
      </c>
      <c r="H106" s="32"/>
    </row>
    <row r="107" spans="1:8">
      <c r="A107" s="31">
        <v>106</v>
      </c>
      <c r="B107" s="5" t="s">
        <v>379</v>
      </c>
      <c r="C107" s="4" t="s">
        <v>380</v>
      </c>
      <c r="D107" s="4" t="s">
        <v>381</v>
      </c>
      <c r="E107" s="4" t="s">
        <v>19</v>
      </c>
      <c r="F107" s="4" t="s">
        <v>1468</v>
      </c>
      <c r="G107" s="4" t="s">
        <v>1469</v>
      </c>
      <c r="H107" s="32"/>
    </row>
    <row r="108" spans="1:8">
      <c r="A108" s="31">
        <v>107</v>
      </c>
      <c r="B108" s="5" t="s">
        <v>382</v>
      </c>
      <c r="C108" s="4" t="s">
        <v>383</v>
      </c>
      <c r="D108" s="4" t="s">
        <v>384</v>
      </c>
      <c r="E108" s="4" t="s">
        <v>19</v>
      </c>
      <c r="F108" s="4" t="s">
        <v>1470</v>
      </c>
      <c r="G108" s="4" t="s">
        <v>1392</v>
      </c>
      <c r="H108" s="32"/>
    </row>
    <row r="109" spans="1:8">
      <c r="A109" s="31">
        <v>108</v>
      </c>
      <c r="B109" s="5" t="s">
        <v>385</v>
      </c>
      <c r="C109" s="4" t="s">
        <v>386</v>
      </c>
      <c r="D109" s="4" t="s">
        <v>387</v>
      </c>
      <c r="E109" s="4" t="s">
        <v>19</v>
      </c>
      <c r="F109" s="4" t="s">
        <v>1471</v>
      </c>
      <c r="G109" s="4" t="s">
        <v>1472</v>
      </c>
      <c r="H109" s="32"/>
    </row>
    <row r="110" spans="1:8">
      <c r="A110" s="31">
        <v>109</v>
      </c>
      <c r="B110" s="5" t="s">
        <v>388</v>
      </c>
      <c r="C110" s="4" t="s">
        <v>389</v>
      </c>
      <c r="D110" s="4" t="s">
        <v>390</v>
      </c>
      <c r="E110" s="4" t="s">
        <v>253</v>
      </c>
      <c r="F110" s="4" t="s">
        <v>1473</v>
      </c>
      <c r="G110" s="4" t="s">
        <v>1474</v>
      </c>
      <c r="H110" s="32" t="s">
        <v>1392</v>
      </c>
    </row>
    <row r="111" spans="1:8">
      <c r="A111" s="31">
        <v>110</v>
      </c>
      <c r="B111" s="5" t="s">
        <v>391</v>
      </c>
      <c r="C111" s="4" t="s">
        <v>392</v>
      </c>
      <c r="D111" s="4" t="s">
        <v>393</v>
      </c>
      <c r="E111" s="4" t="s">
        <v>253</v>
      </c>
      <c r="F111" s="4" t="s">
        <v>1475</v>
      </c>
      <c r="G111" s="4" t="s">
        <v>1476</v>
      </c>
      <c r="H111" s="32" t="s">
        <v>1392</v>
      </c>
    </row>
    <row r="112" spans="1:8">
      <c r="A112" s="31">
        <v>111</v>
      </c>
      <c r="B112" s="5" t="s">
        <v>394</v>
      </c>
      <c r="C112" s="4" t="s">
        <v>395</v>
      </c>
      <c r="D112" s="4" t="s">
        <v>396</v>
      </c>
      <c r="E112" s="4" t="s">
        <v>19</v>
      </c>
      <c r="F112" s="4" t="s">
        <v>1477</v>
      </c>
      <c r="G112" s="4" t="s">
        <v>1478</v>
      </c>
      <c r="H112" s="32"/>
    </row>
    <row r="113" spans="1:8">
      <c r="A113" s="31">
        <v>112</v>
      </c>
      <c r="B113" s="5" t="s">
        <v>397</v>
      </c>
      <c r="C113" s="4" t="s">
        <v>398</v>
      </c>
      <c r="D113" s="4" t="s">
        <v>399</v>
      </c>
      <c r="E113" s="4" t="s">
        <v>253</v>
      </c>
      <c r="F113" s="4" t="s">
        <v>1479</v>
      </c>
      <c r="G113" s="4" t="s">
        <v>1480</v>
      </c>
      <c r="H113" s="32" t="s">
        <v>1392</v>
      </c>
    </row>
    <row r="114" spans="1:8">
      <c r="A114" s="31">
        <v>113</v>
      </c>
      <c r="B114" s="5" t="s">
        <v>400</v>
      </c>
      <c r="C114" s="4" t="s">
        <v>401</v>
      </c>
      <c r="D114" s="4" t="s">
        <v>402</v>
      </c>
      <c r="E114" s="4" t="s">
        <v>253</v>
      </c>
      <c r="F114" s="4" t="s">
        <v>1481</v>
      </c>
      <c r="G114" s="4" t="s">
        <v>1482</v>
      </c>
      <c r="H114" s="32" t="s">
        <v>1392</v>
      </c>
    </row>
    <row r="115" spans="1:8">
      <c r="A115" s="31">
        <v>114</v>
      </c>
      <c r="B115" s="5" t="s">
        <v>403</v>
      </c>
      <c r="C115" s="4" t="s">
        <v>404</v>
      </c>
      <c r="D115" s="4" t="s">
        <v>405</v>
      </c>
      <c r="E115" s="4" t="s">
        <v>55</v>
      </c>
      <c r="F115" s="4" t="s">
        <v>1483</v>
      </c>
      <c r="G115" s="4" t="s">
        <v>1484</v>
      </c>
      <c r="H115" s="32" t="s">
        <v>1286</v>
      </c>
    </row>
    <row r="116" spans="1:8">
      <c r="A116" s="31">
        <v>115</v>
      </c>
      <c r="B116" s="5" t="s">
        <v>406</v>
      </c>
      <c r="C116" s="4" t="s">
        <v>407</v>
      </c>
      <c r="D116" s="4" t="s">
        <v>408</v>
      </c>
      <c r="E116" s="4" t="s">
        <v>19</v>
      </c>
      <c r="F116" s="4" t="s">
        <v>1485</v>
      </c>
      <c r="G116" s="4" t="s">
        <v>1486</v>
      </c>
      <c r="H116" s="32"/>
    </row>
    <row r="117" spans="1:8">
      <c r="A117" s="31">
        <v>116</v>
      </c>
      <c r="B117" s="5" t="s">
        <v>409</v>
      </c>
      <c r="C117" s="4" t="s">
        <v>410</v>
      </c>
      <c r="D117" s="4" t="s">
        <v>253</v>
      </c>
      <c r="E117" s="4" t="s">
        <v>19</v>
      </c>
      <c r="F117" s="4" t="s">
        <v>1487</v>
      </c>
      <c r="G117" s="4" t="s">
        <v>1392</v>
      </c>
      <c r="H117" s="32"/>
    </row>
    <row r="118" spans="1:8">
      <c r="A118" s="31">
        <v>117</v>
      </c>
      <c r="B118" s="5" t="s">
        <v>411</v>
      </c>
      <c r="C118" s="4" t="s">
        <v>412</v>
      </c>
      <c r="D118" s="4" t="s">
        <v>413</v>
      </c>
      <c r="E118" s="4" t="s">
        <v>19</v>
      </c>
      <c r="F118" s="4" t="s">
        <v>1488</v>
      </c>
      <c r="G118" s="4" t="s">
        <v>1489</v>
      </c>
      <c r="H118" s="32"/>
    </row>
    <row r="119" spans="1:8">
      <c r="A119" s="31">
        <v>118</v>
      </c>
      <c r="B119" s="5" t="s">
        <v>416</v>
      </c>
      <c r="C119" s="4" t="s">
        <v>417</v>
      </c>
      <c r="D119" s="4" t="s">
        <v>418</v>
      </c>
      <c r="E119" s="4" t="s">
        <v>19</v>
      </c>
      <c r="F119" s="4" t="s">
        <v>1490</v>
      </c>
      <c r="G119" s="4" t="s">
        <v>1491</v>
      </c>
      <c r="H119" s="32"/>
    </row>
    <row r="120" spans="1:8">
      <c r="A120" s="31">
        <v>119</v>
      </c>
      <c r="B120" s="5" t="s">
        <v>419</v>
      </c>
      <c r="C120" s="4" t="s">
        <v>420</v>
      </c>
      <c r="D120" s="4" t="s">
        <v>33</v>
      </c>
      <c r="E120" s="4" t="s">
        <v>19</v>
      </c>
      <c r="F120" s="4" t="s">
        <v>1492</v>
      </c>
      <c r="G120" s="4" t="s">
        <v>1275</v>
      </c>
      <c r="H120" s="32"/>
    </row>
    <row r="121" spans="1:8">
      <c r="A121" s="31">
        <v>120</v>
      </c>
      <c r="B121" s="5" t="s">
        <v>421</v>
      </c>
      <c r="C121" s="4" t="s">
        <v>422</v>
      </c>
      <c r="D121" s="4" t="s">
        <v>423</v>
      </c>
      <c r="E121" s="4" t="s">
        <v>19</v>
      </c>
      <c r="F121" s="4" t="s">
        <v>1493</v>
      </c>
      <c r="G121" s="4" t="s">
        <v>1494</v>
      </c>
      <c r="H121" s="32"/>
    </row>
    <row r="122" spans="1:8">
      <c r="A122" s="31">
        <v>121</v>
      </c>
      <c r="B122" s="5" t="s">
        <v>426</v>
      </c>
      <c r="C122" s="4" t="s">
        <v>427</v>
      </c>
      <c r="D122" s="4" t="s">
        <v>423</v>
      </c>
      <c r="E122" s="4" t="s">
        <v>19</v>
      </c>
      <c r="F122" s="4" t="s">
        <v>1495</v>
      </c>
      <c r="G122" s="4" t="s">
        <v>1494</v>
      </c>
      <c r="H122" s="32"/>
    </row>
    <row r="123" spans="1:8">
      <c r="A123" s="31">
        <v>122</v>
      </c>
      <c r="B123" s="5" t="s">
        <v>428</v>
      </c>
      <c r="C123" s="4" t="s">
        <v>429</v>
      </c>
      <c r="D123" s="4" t="s">
        <v>295</v>
      </c>
      <c r="E123" s="4" t="s">
        <v>19</v>
      </c>
      <c r="F123" s="4" t="s">
        <v>1496</v>
      </c>
      <c r="G123" s="4" t="s">
        <v>1415</v>
      </c>
      <c r="H123" s="32"/>
    </row>
    <row r="124" spans="1:8">
      <c r="A124" s="31">
        <v>123</v>
      </c>
      <c r="B124" s="5" t="s">
        <v>430</v>
      </c>
      <c r="C124" s="4" t="s">
        <v>431</v>
      </c>
      <c r="D124" s="4" t="s">
        <v>432</v>
      </c>
      <c r="E124" s="4" t="s">
        <v>253</v>
      </c>
      <c r="F124" s="4" t="s">
        <v>1497</v>
      </c>
      <c r="G124" s="4" t="s">
        <v>1498</v>
      </c>
      <c r="H124" s="32" t="s">
        <v>1392</v>
      </c>
    </row>
    <row r="125" spans="1:8">
      <c r="A125" s="31">
        <v>124</v>
      </c>
      <c r="B125" s="5" t="s">
        <v>433</v>
      </c>
      <c r="C125" s="4" t="s">
        <v>434</v>
      </c>
      <c r="D125" s="4" t="s">
        <v>435</v>
      </c>
      <c r="E125" s="4" t="s">
        <v>19</v>
      </c>
      <c r="F125" s="4" t="s">
        <v>1499</v>
      </c>
      <c r="G125" s="4" t="s">
        <v>1500</v>
      </c>
      <c r="H125" s="32"/>
    </row>
    <row r="126" spans="1:8">
      <c r="A126" s="31">
        <v>125</v>
      </c>
      <c r="B126" s="5" t="s">
        <v>436</v>
      </c>
      <c r="C126" s="4" t="s">
        <v>437</v>
      </c>
      <c r="D126" s="4" t="s">
        <v>438</v>
      </c>
      <c r="E126" s="4" t="s">
        <v>19</v>
      </c>
      <c r="F126" s="4" t="s">
        <v>1501</v>
      </c>
      <c r="G126" s="4" t="s">
        <v>1502</v>
      </c>
      <c r="H126" s="32"/>
    </row>
    <row r="127" spans="1:8">
      <c r="A127" s="31">
        <v>126</v>
      </c>
      <c r="B127" s="5" t="s">
        <v>439</v>
      </c>
      <c r="C127" s="4" t="s">
        <v>440</v>
      </c>
      <c r="D127" s="4" t="s">
        <v>441</v>
      </c>
      <c r="E127" s="4" t="s">
        <v>28</v>
      </c>
      <c r="F127" s="4" t="s">
        <v>1503</v>
      </c>
      <c r="G127" s="4" t="s">
        <v>1504</v>
      </c>
      <c r="H127" s="32" t="s">
        <v>1273</v>
      </c>
    </row>
    <row r="128" spans="1:8">
      <c r="A128" s="31">
        <v>127</v>
      </c>
      <c r="B128" s="5" t="s">
        <v>442</v>
      </c>
      <c r="C128" s="4" t="s">
        <v>443</v>
      </c>
      <c r="D128" s="4" t="s">
        <v>444</v>
      </c>
      <c r="E128" s="4" t="s">
        <v>33</v>
      </c>
      <c r="F128" s="4" t="s">
        <v>1505</v>
      </c>
      <c r="G128" s="4" t="s">
        <v>1506</v>
      </c>
      <c r="H128" s="32" t="s">
        <v>1275</v>
      </c>
    </row>
    <row r="129" spans="1:8">
      <c r="A129" s="31">
        <v>128</v>
      </c>
      <c r="B129" s="5" t="s">
        <v>445</v>
      </c>
      <c r="C129" s="4" t="s">
        <v>446</v>
      </c>
      <c r="D129" s="4" t="s">
        <v>33</v>
      </c>
      <c r="E129" s="4" t="s">
        <v>19</v>
      </c>
      <c r="F129" s="4" t="s">
        <v>1507</v>
      </c>
      <c r="G129" s="4" t="s">
        <v>1275</v>
      </c>
      <c r="H129" s="32"/>
    </row>
    <row r="130" spans="1:8">
      <c r="A130" s="31">
        <v>129</v>
      </c>
      <c r="B130" s="5" t="s">
        <v>447</v>
      </c>
      <c r="C130" s="4" t="s">
        <v>448</v>
      </c>
      <c r="D130" s="4" t="s">
        <v>33</v>
      </c>
      <c r="E130" s="4" t="s">
        <v>19</v>
      </c>
      <c r="F130" s="4" t="s">
        <v>1508</v>
      </c>
      <c r="G130" s="4" t="s">
        <v>1275</v>
      </c>
      <c r="H130" s="32"/>
    </row>
    <row r="131" spans="1:8">
      <c r="A131" s="31">
        <v>130</v>
      </c>
      <c r="B131" s="5" t="s">
        <v>449</v>
      </c>
      <c r="C131" s="4" t="s">
        <v>450</v>
      </c>
      <c r="D131" s="4" t="s">
        <v>33</v>
      </c>
      <c r="E131" s="4" t="s">
        <v>19</v>
      </c>
      <c r="F131" s="4" t="s">
        <v>1509</v>
      </c>
      <c r="G131" s="4" t="s">
        <v>1275</v>
      </c>
      <c r="H131" s="32"/>
    </row>
    <row r="132" spans="1:8">
      <c r="A132" s="31">
        <v>131</v>
      </c>
      <c r="B132" s="5" t="s">
        <v>451</v>
      </c>
      <c r="C132" s="4" t="s">
        <v>452</v>
      </c>
      <c r="D132" s="4" t="s">
        <v>453</v>
      </c>
      <c r="E132" s="4" t="s">
        <v>253</v>
      </c>
      <c r="F132" s="4" t="s">
        <v>1510</v>
      </c>
      <c r="G132" s="4" t="s">
        <v>1511</v>
      </c>
      <c r="H132" s="32" t="s">
        <v>1392</v>
      </c>
    </row>
    <row r="133" spans="1:8">
      <c r="A133" s="31">
        <v>132</v>
      </c>
      <c r="B133" s="5" t="s">
        <v>454</v>
      </c>
      <c r="C133" s="4" t="s">
        <v>455</v>
      </c>
      <c r="D133" s="4" t="s">
        <v>456</v>
      </c>
      <c r="E133" s="4" t="s">
        <v>423</v>
      </c>
      <c r="F133" s="4" t="s">
        <v>1512</v>
      </c>
      <c r="G133" s="4" t="s">
        <v>1513</v>
      </c>
      <c r="H133" s="32" t="s">
        <v>1494</v>
      </c>
    </row>
    <row r="134" spans="1:8">
      <c r="A134" s="31">
        <v>133</v>
      </c>
      <c r="B134" s="5" t="s">
        <v>457</v>
      </c>
      <c r="C134" s="4" t="s">
        <v>458</v>
      </c>
      <c r="D134" s="4" t="s">
        <v>33</v>
      </c>
      <c r="E134" s="4" t="s">
        <v>19</v>
      </c>
      <c r="F134" s="4" t="s">
        <v>1514</v>
      </c>
      <c r="G134" s="4" t="s">
        <v>1275</v>
      </c>
      <c r="H134" s="32"/>
    </row>
    <row r="135" spans="1:8">
      <c r="A135" s="31">
        <v>134</v>
      </c>
      <c r="B135" s="5" t="s">
        <v>459</v>
      </c>
      <c r="C135" s="4" t="s">
        <v>460</v>
      </c>
      <c r="D135" s="4" t="s">
        <v>461</v>
      </c>
      <c r="E135" s="4" t="s">
        <v>33</v>
      </c>
      <c r="F135" s="4" t="s">
        <v>1515</v>
      </c>
      <c r="G135" s="4" t="s">
        <v>1516</v>
      </c>
      <c r="H135" s="32" t="s">
        <v>1275</v>
      </c>
    </row>
    <row r="136" spans="1:8">
      <c r="A136" s="31">
        <v>135</v>
      </c>
      <c r="B136" s="5" t="s">
        <v>462</v>
      </c>
      <c r="C136" s="4" t="s">
        <v>463</v>
      </c>
      <c r="D136" s="4" t="s">
        <v>464</v>
      </c>
      <c r="E136" s="4" t="s">
        <v>19</v>
      </c>
      <c r="F136" s="4" t="s">
        <v>1517</v>
      </c>
      <c r="G136" s="4" t="s">
        <v>1415</v>
      </c>
      <c r="H136" s="32"/>
    </row>
    <row r="137" spans="1:8">
      <c r="A137" s="31">
        <v>136</v>
      </c>
      <c r="B137" s="5" t="s">
        <v>465</v>
      </c>
      <c r="C137" s="4" t="s">
        <v>466</v>
      </c>
      <c r="D137" s="4" t="s">
        <v>467</v>
      </c>
      <c r="E137" s="4" t="s">
        <v>33</v>
      </c>
      <c r="F137" s="4" t="s">
        <v>1518</v>
      </c>
      <c r="G137" s="4" t="s">
        <v>1519</v>
      </c>
      <c r="H137" s="32" t="s">
        <v>1275</v>
      </c>
    </row>
    <row r="138" spans="1:8">
      <c r="A138" s="31">
        <v>137</v>
      </c>
      <c r="B138" s="5" t="s">
        <v>468</v>
      </c>
      <c r="C138" s="4" t="s">
        <v>469</v>
      </c>
      <c r="D138" s="4" t="s">
        <v>470</v>
      </c>
      <c r="E138" s="4" t="s">
        <v>19</v>
      </c>
      <c r="F138" s="4" t="s">
        <v>1520</v>
      </c>
      <c r="G138" s="4" t="s">
        <v>1521</v>
      </c>
      <c r="H138" s="32"/>
    </row>
    <row r="139" spans="1:8">
      <c r="A139" s="31">
        <v>138</v>
      </c>
      <c r="B139" s="5" t="s">
        <v>471</v>
      </c>
      <c r="C139" s="4" t="s">
        <v>472</v>
      </c>
      <c r="D139" s="4" t="s">
        <v>33</v>
      </c>
      <c r="E139" s="4" t="s">
        <v>19</v>
      </c>
      <c r="F139" s="4" t="s">
        <v>1522</v>
      </c>
      <c r="G139" s="4" t="s">
        <v>1275</v>
      </c>
      <c r="H139" s="32"/>
    </row>
    <row r="140" spans="1:8">
      <c r="A140" s="31">
        <v>139</v>
      </c>
      <c r="B140" s="5" t="s">
        <v>473</v>
      </c>
      <c r="C140" s="4" t="s">
        <v>474</v>
      </c>
      <c r="D140" s="4" t="s">
        <v>33</v>
      </c>
      <c r="E140" s="4" t="s">
        <v>19</v>
      </c>
      <c r="F140" s="4" t="s">
        <v>1523</v>
      </c>
      <c r="G140" s="4" t="s">
        <v>1275</v>
      </c>
      <c r="H140" s="32"/>
    </row>
    <row r="141" spans="1:8">
      <c r="A141" s="31">
        <v>140</v>
      </c>
      <c r="B141" s="5" t="s">
        <v>475</v>
      </c>
      <c r="C141" s="4" t="s">
        <v>476</v>
      </c>
      <c r="D141" s="4" t="s">
        <v>477</v>
      </c>
      <c r="E141" s="4" t="s">
        <v>19</v>
      </c>
      <c r="F141" s="4" t="s">
        <v>1524</v>
      </c>
      <c r="G141" s="4" t="s">
        <v>1525</v>
      </c>
      <c r="H141" s="32"/>
    </row>
    <row r="142" spans="1:8">
      <c r="A142" s="31">
        <v>141</v>
      </c>
      <c r="B142" s="5" t="s">
        <v>478</v>
      </c>
      <c r="C142" s="4" t="s">
        <v>479</v>
      </c>
      <c r="D142" s="4" t="s">
        <v>480</v>
      </c>
      <c r="E142" s="4" t="s">
        <v>342</v>
      </c>
      <c r="F142" s="4" t="s">
        <v>1526</v>
      </c>
      <c r="G142" s="4" t="s">
        <v>1527</v>
      </c>
      <c r="H142" s="32" t="s">
        <v>1444</v>
      </c>
    </row>
    <row r="143" spans="1:8">
      <c r="A143" s="31">
        <v>142</v>
      </c>
      <c r="B143" s="5" t="s">
        <v>481</v>
      </c>
      <c r="C143" s="4" t="s">
        <v>482</v>
      </c>
      <c r="D143" s="4" t="s">
        <v>483</v>
      </c>
      <c r="E143" s="4" t="s">
        <v>19</v>
      </c>
      <c r="F143" s="4" t="s">
        <v>1528</v>
      </c>
      <c r="G143" s="4" t="s">
        <v>1529</v>
      </c>
      <c r="H143" s="32"/>
    </row>
    <row r="144" spans="1:8">
      <c r="A144" s="31">
        <v>143</v>
      </c>
      <c r="B144" s="5" t="s">
        <v>484</v>
      </c>
      <c r="C144" s="4" t="s">
        <v>485</v>
      </c>
      <c r="D144" s="4" t="s">
        <v>486</v>
      </c>
      <c r="E144" s="4" t="s">
        <v>487</v>
      </c>
      <c r="F144" s="4" t="s">
        <v>1530</v>
      </c>
      <c r="G144" s="4" t="s">
        <v>1531</v>
      </c>
      <c r="H144" s="32" t="s">
        <v>1532</v>
      </c>
    </row>
    <row r="145" spans="1:8">
      <c r="A145" s="31">
        <v>144</v>
      </c>
      <c r="B145" s="5" t="s">
        <v>488</v>
      </c>
      <c r="C145" s="4" t="s">
        <v>489</v>
      </c>
      <c r="D145" s="4" t="s">
        <v>490</v>
      </c>
      <c r="E145" s="4" t="s">
        <v>19</v>
      </c>
      <c r="F145" s="4" t="s">
        <v>1533</v>
      </c>
      <c r="G145" s="4" t="s">
        <v>1534</v>
      </c>
      <c r="H145" s="32"/>
    </row>
    <row r="146" spans="1:8" ht="27.6">
      <c r="A146" s="31">
        <v>145</v>
      </c>
      <c r="B146" s="5" t="s">
        <v>491</v>
      </c>
      <c r="C146" s="4" t="s">
        <v>492</v>
      </c>
      <c r="D146" s="4" t="s">
        <v>493</v>
      </c>
      <c r="E146" s="4" t="s">
        <v>19</v>
      </c>
      <c r="F146" s="4" t="s">
        <v>1535</v>
      </c>
      <c r="G146" s="4" t="s">
        <v>1532</v>
      </c>
      <c r="H146" s="32"/>
    </row>
    <row r="147" spans="1:8">
      <c r="A147" s="31">
        <v>146</v>
      </c>
      <c r="B147" s="5" t="s">
        <v>494</v>
      </c>
      <c r="C147" s="4" t="s">
        <v>495</v>
      </c>
      <c r="D147" s="4" t="s">
        <v>487</v>
      </c>
      <c r="E147" s="4" t="s">
        <v>19</v>
      </c>
      <c r="F147" s="4" t="s">
        <v>1536</v>
      </c>
      <c r="G147" s="4" t="s">
        <v>1532</v>
      </c>
      <c r="H147" s="32"/>
    </row>
    <row r="148" spans="1:8">
      <c r="A148" s="31">
        <v>147</v>
      </c>
      <c r="B148" s="5" t="s">
        <v>496</v>
      </c>
      <c r="C148" s="4" t="s">
        <v>497</v>
      </c>
      <c r="D148" s="4" t="s">
        <v>487</v>
      </c>
      <c r="E148" s="4" t="s">
        <v>19</v>
      </c>
      <c r="F148" s="4" t="s">
        <v>1537</v>
      </c>
      <c r="G148" s="4" t="s">
        <v>1532</v>
      </c>
      <c r="H148" s="32"/>
    </row>
    <row r="149" spans="1:8">
      <c r="A149" s="31">
        <v>148</v>
      </c>
      <c r="B149" s="5" t="s">
        <v>498</v>
      </c>
      <c r="C149" s="4" t="s">
        <v>499</v>
      </c>
      <c r="D149" s="4" t="s">
        <v>487</v>
      </c>
      <c r="E149" s="4" t="s">
        <v>19</v>
      </c>
      <c r="F149" s="4" t="s">
        <v>1538</v>
      </c>
      <c r="G149" s="4" t="s">
        <v>1532</v>
      </c>
      <c r="H149" s="32"/>
    </row>
    <row r="150" spans="1:8">
      <c r="A150" s="31">
        <v>149</v>
      </c>
      <c r="B150" s="5" t="s">
        <v>500</v>
      </c>
      <c r="C150" s="4" t="s">
        <v>501</v>
      </c>
      <c r="D150" s="4" t="s">
        <v>253</v>
      </c>
      <c r="E150" s="4" t="s">
        <v>19</v>
      </c>
      <c r="F150" s="4" t="s">
        <v>1539</v>
      </c>
      <c r="G150" s="4" t="s">
        <v>1392</v>
      </c>
      <c r="H150" s="32"/>
    </row>
    <row r="151" spans="1:8">
      <c r="A151" s="31">
        <v>150</v>
      </c>
      <c r="B151" s="5" t="s">
        <v>502</v>
      </c>
      <c r="C151" s="4" t="s">
        <v>503</v>
      </c>
      <c r="D151" s="4" t="s">
        <v>253</v>
      </c>
      <c r="E151" s="4" t="s">
        <v>19</v>
      </c>
      <c r="F151" s="4" t="s">
        <v>1540</v>
      </c>
      <c r="G151" s="4" t="s">
        <v>1392</v>
      </c>
      <c r="H151" s="32"/>
    </row>
    <row r="152" spans="1:8">
      <c r="A152" s="31">
        <v>151</v>
      </c>
      <c r="B152" s="5" t="s">
        <v>504</v>
      </c>
      <c r="C152" s="4" t="s">
        <v>505</v>
      </c>
      <c r="D152" s="4" t="s">
        <v>253</v>
      </c>
      <c r="E152" s="4" t="s">
        <v>19</v>
      </c>
      <c r="F152" s="4" t="s">
        <v>1541</v>
      </c>
      <c r="G152" s="4" t="s">
        <v>1392</v>
      </c>
      <c r="H152" s="32"/>
    </row>
    <row r="153" spans="1:8">
      <c r="A153" s="31">
        <v>152</v>
      </c>
      <c r="B153" s="5" t="s">
        <v>506</v>
      </c>
      <c r="C153" s="4" t="s">
        <v>507</v>
      </c>
      <c r="D153" s="4" t="s">
        <v>253</v>
      </c>
      <c r="E153" s="4" t="s">
        <v>19</v>
      </c>
      <c r="F153" s="4" t="s">
        <v>1542</v>
      </c>
      <c r="G153" s="4" t="s">
        <v>1392</v>
      </c>
      <c r="H153" s="32"/>
    </row>
    <row r="154" spans="1:8">
      <c r="A154" s="31">
        <v>153</v>
      </c>
      <c r="B154" s="5" t="s">
        <v>508</v>
      </c>
      <c r="C154" s="4" t="s">
        <v>509</v>
      </c>
      <c r="D154" s="4" t="s">
        <v>510</v>
      </c>
      <c r="E154" s="4" t="s">
        <v>33</v>
      </c>
      <c r="F154" s="4" t="s">
        <v>1543</v>
      </c>
      <c r="G154" s="4" t="s">
        <v>1544</v>
      </c>
      <c r="H154" s="32" t="s">
        <v>1275</v>
      </c>
    </row>
    <row r="155" spans="1:8">
      <c r="A155" s="31">
        <v>154</v>
      </c>
      <c r="B155" s="5" t="s">
        <v>511</v>
      </c>
      <c r="C155" s="4" t="s">
        <v>512</v>
      </c>
      <c r="D155" s="4" t="s">
        <v>33</v>
      </c>
      <c r="E155" s="4" t="s">
        <v>19</v>
      </c>
      <c r="F155" s="4" t="s">
        <v>1545</v>
      </c>
      <c r="G155" s="4" t="s">
        <v>1275</v>
      </c>
      <c r="H155" s="32"/>
    </row>
    <row r="156" spans="1:8">
      <c r="A156" s="31">
        <v>155</v>
      </c>
      <c r="B156" s="5" t="s">
        <v>513</v>
      </c>
      <c r="C156" s="4" t="s">
        <v>514</v>
      </c>
      <c r="D156" s="4" t="s">
        <v>33</v>
      </c>
      <c r="E156" s="4" t="s">
        <v>19</v>
      </c>
      <c r="F156" s="4" t="s">
        <v>1546</v>
      </c>
      <c r="G156" s="4" t="s">
        <v>1275</v>
      </c>
      <c r="H156" s="32"/>
    </row>
    <row r="157" spans="1:8">
      <c r="A157" s="31">
        <v>156</v>
      </c>
      <c r="B157" s="5" t="s">
        <v>515</v>
      </c>
      <c r="C157" s="4" t="s">
        <v>516</v>
      </c>
      <c r="D157" s="4" t="s">
        <v>517</v>
      </c>
      <c r="E157" s="4" t="s">
        <v>183</v>
      </c>
      <c r="F157" s="4" t="s">
        <v>1547</v>
      </c>
      <c r="G157" s="4" t="s">
        <v>1548</v>
      </c>
      <c r="H157" s="32" t="s">
        <v>1354</v>
      </c>
    </row>
    <row r="158" spans="1:8">
      <c r="A158" s="31">
        <v>157</v>
      </c>
      <c r="B158" s="5" t="s">
        <v>518</v>
      </c>
      <c r="C158" s="4" t="s">
        <v>519</v>
      </c>
      <c r="D158" s="4" t="s">
        <v>520</v>
      </c>
      <c r="E158" s="4" t="s">
        <v>183</v>
      </c>
      <c r="F158" s="4" t="s">
        <v>1549</v>
      </c>
      <c r="G158" s="4" t="s">
        <v>1550</v>
      </c>
      <c r="H158" s="32" t="s">
        <v>1354</v>
      </c>
    </row>
    <row r="159" spans="1:8">
      <c r="A159" s="31">
        <v>158</v>
      </c>
      <c r="B159" s="5" t="s">
        <v>521</v>
      </c>
      <c r="C159" s="4" t="s">
        <v>522</v>
      </c>
      <c r="D159" s="4" t="s">
        <v>523</v>
      </c>
      <c r="E159" s="4" t="s">
        <v>19</v>
      </c>
      <c r="F159" s="4" t="s">
        <v>1551</v>
      </c>
      <c r="G159" s="4" t="s">
        <v>1552</v>
      </c>
      <c r="H159" s="32"/>
    </row>
    <row r="160" spans="1:8">
      <c r="A160" s="31">
        <v>159</v>
      </c>
      <c r="B160" s="5" t="s">
        <v>526</v>
      </c>
      <c r="C160" s="4" t="s">
        <v>527</v>
      </c>
      <c r="D160" s="4" t="s">
        <v>528</v>
      </c>
      <c r="E160" s="4" t="s">
        <v>19</v>
      </c>
      <c r="F160" s="4" t="s">
        <v>1553</v>
      </c>
      <c r="G160" s="4" t="s">
        <v>1554</v>
      </c>
      <c r="H160" s="32"/>
    </row>
    <row r="161" spans="1:8">
      <c r="A161" s="31">
        <v>160</v>
      </c>
      <c r="B161" s="5" t="s">
        <v>529</v>
      </c>
      <c r="C161" s="4" t="s">
        <v>530</v>
      </c>
      <c r="D161" s="4" t="s">
        <v>487</v>
      </c>
      <c r="E161" s="4" t="s">
        <v>19</v>
      </c>
      <c r="F161" s="4" t="s">
        <v>1555</v>
      </c>
      <c r="G161" s="4" t="s">
        <v>1532</v>
      </c>
      <c r="H161" s="32"/>
    </row>
    <row r="162" spans="1:8">
      <c r="A162" s="31">
        <v>161</v>
      </c>
      <c r="B162" s="5" t="s">
        <v>531</v>
      </c>
      <c r="C162" s="4" t="s">
        <v>532</v>
      </c>
      <c r="D162" s="4" t="s">
        <v>487</v>
      </c>
      <c r="E162" s="4" t="s">
        <v>19</v>
      </c>
      <c r="F162" s="4" t="s">
        <v>1556</v>
      </c>
      <c r="G162" s="4" t="s">
        <v>1532</v>
      </c>
      <c r="H162" s="32"/>
    </row>
    <row r="163" spans="1:8">
      <c r="A163" s="31">
        <v>162</v>
      </c>
      <c r="B163" s="5" t="s">
        <v>533</v>
      </c>
      <c r="C163" s="4" t="s">
        <v>534</v>
      </c>
      <c r="D163" s="4" t="s">
        <v>535</v>
      </c>
      <c r="E163" s="4" t="s">
        <v>523</v>
      </c>
      <c r="F163" s="4" t="s">
        <v>1557</v>
      </c>
      <c r="G163" s="4" t="s">
        <v>1558</v>
      </c>
      <c r="H163" s="32" t="s">
        <v>1552</v>
      </c>
    </row>
    <row r="164" spans="1:8">
      <c r="A164" s="31">
        <v>163</v>
      </c>
      <c r="B164" s="5" t="s">
        <v>536</v>
      </c>
      <c r="C164" s="4" t="s">
        <v>537</v>
      </c>
      <c r="D164" s="4" t="s">
        <v>538</v>
      </c>
      <c r="E164" s="4" t="s">
        <v>523</v>
      </c>
      <c r="F164" s="4" t="s">
        <v>1559</v>
      </c>
      <c r="G164" s="4" t="s">
        <v>1304</v>
      </c>
      <c r="H164" s="32" t="s">
        <v>1552</v>
      </c>
    </row>
    <row r="165" spans="1:8">
      <c r="A165" s="31">
        <v>164</v>
      </c>
      <c r="B165" s="5" t="s">
        <v>539</v>
      </c>
      <c r="C165" s="4" t="s">
        <v>540</v>
      </c>
      <c r="D165" s="4" t="s">
        <v>523</v>
      </c>
      <c r="E165" s="4" t="s">
        <v>19</v>
      </c>
      <c r="F165" s="4" t="s">
        <v>1560</v>
      </c>
      <c r="G165" s="4" t="s">
        <v>1552</v>
      </c>
      <c r="H165" s="32"/>
    </row>
    <row r="166" spans="1:8">
      <c r="A166" s="31">
        <v>165</v>
      </c>
      <c r="B166" s="5" t="s">
        <v>541</v>
      </c>
      <c r="C166" s="4" t="s">
        <v>542</v>
      </c>
      <c r="D166" s="4" t="s">
        <v>543</v>
      </c>
      <c r="E166" s="4" t="s">
        <v>523</v>
      </c>
      <c r="F166" s="4" t="s">
        <v>1561</v>
      </c>
      <c r="G166" s="4" t="s">
        <v>1562</v>
      </c>
      <c r="H166" s="32" t="s">
        <v>1552</v>
      </c>
    </row>
    <row r="167" spans="1:8">
      <c r="A167" s="31">
        <v>166</v>
      </c>
      <c r="B167" s="5" t="s">
        <v>544</v>
      </c>
      <c r="C167" s="4" t="s">
        <v>545</v>
      </c>
      <c r="D167" s="4" t="s">
        <v>546</v>
      </c>
      <c r="E167" s="4" t="s">
        <v>33</v>
      </c>
      <c r="F167" s="4" t="s">
        <v>1563</v>
      </c>
      <c r="G167" s="4" t="s">
        <v>1564</v>
      </c>
      <c r="H167" s="32" t="s">
        <v>1275</v>
      </c>
    </row>
    <row r="168" spans="1:8">
      <c r="A168" s="31">
        <v>167</v>
      </c>
      <c r="B168" s="5" t="s">
        <v>547</v>
      </c>
      <c r="C168" s="4" t="s">
        <v>548</v>
      </c>
      <c r="D168" s="4" t="s">
        <v>549</v>
      </c>
      <c r="E168" s="4" t="s">
        <v>19</v>
      </c>
      <c r="F168" s="4" t="s">
        <v>1565</v>
      </c>
      <c r="G168" s="4" t="s">
        <v>1566</v>
      </c>
      <c r="H168" s="32"/>
    </row>
    <row r="169" spans="1:8">
      <c r="A169" s="31">
        <v>168</v>
      </c>
      <c r="B169" s="5" t="s">
        <v>550</v>
      </c>
      <c r="C169" s="4" t="s">
        <v>551</v>
      </c>
      <c r="D169" s="4" t="s">
        <v>552</v>
      </c>
      <c r="E169" s="4" t="s">
        <v>165</v>
      </c>
      <c r="F169" s="4" t="s">
        <v>1567</v>
      </c>
      <c r="G169" s="4" t="s">
        <v>1568</v>
      </c>
      <c r="H169" s="32" t="s">
        <v>1344</v>
      </c>
    </row>
    <row r="170" spans="1:8">
      <c r="A170" s="31">
        <v>169</v>
      </c>
      <c r="B170" s="5" t="s">
        <v>553</v>
      </c>
      <c r="C170" s="4" t="s">
        <v>554</v>
      </c>
      <c r="D170" s="4" t="s">
        <v>555</v>
      </c>
      <c r="E170" s="4" t="s">
        <v>556</v>
      </c>
      <c r="F170" s="4" t="s">
        <v>1569</v>
      </c>
      <c r="G170" s="4" t="s">
        <v>1570</v>
      </c>
      <c r="H170" s="32" t="s">
        <v>1571</v>
      </c>
    </row>
    <row r="171" spans="1:8">
      <c r="A171" s="31">
        <v>170</v>
      </c>
      <c r="B171" s="5" t="s">
        <v>559</v>
      </c>
      <c r="C171" s="4" t="s">
        <v>560</v>
      </c>
      <c r="D171" s="4" t="s">
        <v>561</v>
      </c>
      <c r="E171" s="4" t="s">
        <v>556</v>
      </c>
      <c r="F171" s="4" t="s">
        <v>1572</v>
      </c>
      <c r="G171" s="4" t="s">
        <v>1573</v>
      </c>
      <c r="H171" s="32" t="s">
        <v>1571</v>
      </c>
    </row>
    <row r="172" spans="1:8">
      <c r="A172" s="31">
        <v>171</v>
      </c>
      <c r="B172" s="5" t="s">
        <v>562</v>
      </c>
      <c r="C172" s="4" t="s">
        <v>563</v>
      </c>
      <c r="D172" s="4" t="s">
        <v>556</v>
      </c>
      <c r="E172" s="4" t="s">
        <v>19</v>
      </c>
      <c r="F172" s="4" t="s">
        <v>1574</v>
      </c>
      <c r="G172" s="4" t="s">
        <v>1571</v>
      </c>
      <c r="H172" s="32"/>
    </row>
    <row r="173" spans="1:8">
      <c r="A173" s="31">
        <v>172</v>
      </c>
      <c r="B173" s="5" t="s">
        <v>564</v>
      </c>
      <c r="C173" s="4" t="s">
        <v>565</v>
      </c>
      <c r="D173" s="4" t="s">
        <v>566</v>
      </c>
      <c r="E173" s="4" t="s">
        <v>295</v>
      </c>
      <c r="F173" s="4" t="s">
        <v>1575</v>
      </c>
      <c r="G173" s="4" t="s">
        <v>1576</v>
      </c>
      <c r="H173" s="32" t="s">
        <v>1415</v>
      </c>
    </row>
    <row r="174" spans="1:8">
      <c r="A174" s="31">
        <v>173</v>
      </c>
      <c r="B174" s="5" t="s">
        <v>567</v>
      </c>
      <c r="C174" s="4" t="s">
        <v>568</v>
      </c>
      <c r="D174" s="4" t="s">
        <v>569</v>
      </c>
      <c r="E174" s="4" t="s">
        <v>267</v>
      </c>
      <c r="F174" s="4" t="s">
        <v>1577</v>
      </c>
      <c r="G174" s="4" t="s">
        <v>1578</v>
      </c>
      <c r="H174" s="32" t="s">
        <v>1347</v>
      </c>
    </row>
    <row r="175" spans="1:8">
      <c r="A175" s="31">
        <v>174</v>
      </c>
      <c r="B175" s="5" t="s">
        <v>570</v>
      </c>
      <c r="C175" s="4" t="s">
        <v>571</v>
      </c>
      <c r="D175" s="4" t="s">
        <v>572</v>
      </c>
      <c r="E175" s="4" t="s">
        <v>267</v>
      </c>
      <c r="F175" s="4" t="s">
        <v>1579</v>
      </c>
      <c r="G175" s="4" t="s">
        <v>1580</v>
      </c>
      <c r="H175" s="32" t="s">
        <v>1347</v>
      </c>
    </row>
    <row r="176" spans="1:8">
      <c r="A176" s="31">
        <v>175</v>
      </c>
      <c r="B176" s="5" t="s">
        <v>573</v>
      </c>
      <c r="C176" s="4" t="s">
        <v>574</v>
      </c>
      <c r="D176" s="4" t="s">
        <v>267</v>
      </c>
      <c r="E176" s="4" t="s">
        <v>19</v>
      </c>
      <c r="F176" s="4" t="s">
        <v>1581</v>
      </c>
      <c r="G176" s="4" t="s">
        <v>1347</v>
      </c>
      <c r="H176" s="32"/>
    </row>
    <row r="177" spans="1:8">
      <c r="A177" s="31">
        <v>176</v>
      </c>
      <c r="B177" s="5" t="s">
        <v>575</v>
      </c>
      <c r="C177" s="4" t="s">
        <v>576</v>
      </c>
      <c r="D177" s="4" t="s">
        <v>267</v>
      </c>
      <c r="E177" s="4" t="s">
        <v>19</v>
      </c>
      <c r="F177" s="4" t="s">
        <v>1582</v>
      </c>
      <c r="G177" s="4" t="s">
        <v>1347</v>
      </c>
      <c r="H177" s="32"/>
    </row>
    <row r="178" spans="1:8">
      <c r="A178" s="31">
        <v>177</v>
      </c>
      <c r="B178" s="5" t="s">
        <v>577</v>
      </c>
      <c r="C178" s="4" t="s">
        <v>578</v>
      </c>
      <c r="D178" s="4" t="s">
        <v>267</v>
      </c>
      <c r="E178" s="4" t="s">
        <v>19</v>
      </c>
      <c r="F178" s="4" t="s">
        <v>1583</v>
      </c>
      <c r="G178" s="4" t="s">
        <v>1347</v>
      </c>
      <c r="H178" s="32"/>
    </row>
    <row r="179" spans="1:8">
      <c r="A179" s="31">
        <v>178</v>
      </c>
      <c r="B179" s="5" t="s">
        <v>579</v>
      </c>
      <c r="C179" s="4" t="s">
        <v>580</v>
      </c>
      <c r="D179" s="4" t="s">
        <v>581</v>
      </c>
      <c r="E179" s="4" t="s">
        <v>19</v>
      </c>
      <c r="F179" s="4" t="s">
        <v>1584</v>
      </c>
      <c r="G179" s="4" t="s">
        <v>1585</v>
      </c>
      <c r="H179" s="32"/>
    </row>
    <row r="180" spans="1:8">
      <c r="A180" s="31">
        <v>179</v>
      </c>
      <c r="B180" s="5" t="s">
        <v>582</v>
      </c>
      <c r="C180" s="4" t="s">
        <v>583</v>
      </c>
      <c r="D180" s="4" t="s">
        <v>584</v>
      </c>
      <c r="E180" s="4" t="s">
        <v>19</v>
      </c>
      <c r="F180" s="4" t="s">
        <v>1586</v>
      </c>
      <c r="G180" s="4" t="s">
        <v>1587</v>
      </c>
      <c r="H180" s="32"/>
    </row>
    <row r="181" spans="1:8">
      <c r="A181" s="31">
        <v>180</v>
      </c>
      <c r="B181" s="5" t="s">
        <v>585</v>
      </c>
      <c r="C181" s="4" t="s">
        <v>586</v>
      </c>
      <c r="D181" s="4" t="s">
        <v>587</v>
      </c>
      <c r="E181" s="4" t="s">
        <v>267</v>
      </c>
      <c r="F181" s="4" t="s">
        <v>1588</v>
      </c>
      <c r="G181" s="4" t="s">
        <v>1589</v>
      </c>
      <c r="H181" s="32" t="s">
        <v>1347</v>
      </c>
    </row>
    <row r="182" spans="1:8">
      <c r="A182" s="31">
        <v>181</v>
      </c>
      <c r="B182" s="5" t="s">
        <v>588</v>
      </c>
      <c r="C182" s="4" t="s">
        <v>589</v>
      </c>
      <c r="D182" s="4" t="s">
        <v>590</v>
      </c>
      <c r="E182" s="4" t="s">
        <v>267</v>
      </c>
      <c r="F182" s="4" t="s">
        <v>1590</v>
      </c>
      <c r="G182" s="4" t="s">
        <v>1591</v>
      </c>
      <c r="H182" s="32" t="s">
        <v>1347</v>
      </c>
    </row>
    <row r="183" spans="1:8">
      <c r="A183" s="31">
        <v>182</v>
      </c>
      <c r="B183" s="5" t="s">
        <v>591</v>
      </c>
      <c r="C183" s="4" t="s">
        <v>592</v>
      </c>
      <c r="D183" s="4" t="s">
        <v>593</v>
      </c>
      <c r="E183" s="4" t="s">
        <v>267</v>
      </c>
      <c r="F183" s="4" t="s">
        <v>1592</v>
      </c>
      <c r="G183" s="4" t="s">
        <v>1593</v>
      </c>
      <c r="H183" s="32" t="s">
        <v>1347</v>
      </c>
    </row>
    <row r="184" spans="1:8">
      <c r="A184" s="31">
        <v>183</v>
      </c>
      <c r="B184" s="5" t="s">
        <v>594</v>
      </c>
      <c r="C184" s="4" t="s">
        <v>595</v>
      </c>
      <c r="D184" s="4" t="s">
        <v>596</v>
      </c>
      <c r="E184" s="4" t="s">
        <v>267</v>
      </c>
      <c r="F184" s="4" t="s">
        <v>1594</v>
      </c>
      <c r="G184" s="4" t="s">
        <v>1595</v>
      </c>
      <c r="H184" s="32" t="s">
        <v>1347</v>
      </c>
    </row>
    <row r="185" spans="1:8">
      <c r="A185" s="31">
        <v>184</v>
      </c>
      <c r="B185" s="5" t="s">
        <v>597</v>
      </c>
      <c r="C185" s="4" t="s">
        <v>598</v>
      </c>
      <c r="D185" s="4" t="s">
        <v>599</v>
      </c>
      <c r="E185" s="4" t="s">
        <v>267</v>
      </c>
      <c r="F185" s="4" t="s">
        <v>1596</v>
      </c>
      <c r="G185" s="4" t="s">
        <v>1597</v>
      </c>
      <c r="H185" s="32" t="s">
        <v>1347</v>
      </c>
    </row>
    <row r="186" spans="1:8">
      <c r="A186" s="31">
        <v>185</v>
      </c>
      <c r="B186" s="5" t="s">
        <v>600</v>
      </c>
      <c r="C186" s="4" t="s">
        <v>601</v>
      </c>
      <c r="D186" s="4" t="s">
        <v>602</v>
      </c>
      <c r="E186" s="4" t="s">
        <v>603</v>
      </c>
      <c r="F186" s="4" t="s">
        <v>1598</v>
      </c>
      <c r="G186" s="4" t="s">
        <v>1599</v>
      </c>
      <c r="H186" s="32" t="s">
        <v>1600</v>
      </c>
    </row>
    <row r="187" spans="1:8">
      <c r="A187" s="31">
        <v>186</v>
      </c>
      <c r="B187" s="5" t="s">
        <v>606</v>
      </c>
      <c r="C187" s="4" t="s">
        <v>607</v>
      </c>
      <c r="D187" s="4" t="s">
        <v>608</v>
      </c>
      <c r="E187" s="4" t="s">
        <v>603</v>
      </c>
      <c r="F187" s="4" t="s">
        <v>1601</v>
      </c>
      <c r="G187" s="4" t="s">
        <v>1600</v>
      </c>
      <c r="H187" s="32" t="s">
        <v>1600</v>
      </c>
    </row>
    <row r="188" spans="1:8">
      <c r="A188" s="31">
        <v>187</v>
      </c>
      <c r="B188" s="5" t="s">
        <v>609</v>
      </c>
      <c r="C188" s="4" t="s">
        <v>610</v>
      </c>
      <c r="D188" s="4" t="s">
        <v>611</v>
      </c>
      <c r="E188" s="4" t="s">
        <v>17</v>
      </c>
      <c r="F188" s="4" t="s">
        <v>1602</v>
      </c>
      <c r="G188" s="4" t="s">
        <v>1571</v>
      </c>
      <c r="H188" s="32" t="s">
        <v>1270</v>
      </c>
    </row>
    <row r="189" spans="1:8">
      <c r="A189" s="31">
        <v>188</v>
      </c>
      <c r="B189" s="5" t="s">
        <v>612</v>
      </c>
      <c r="C189" s="4" t="s">
        <v>613</v>
      </c>
      <c r="D189" s="4" t="s">
        <v>614</v>
      </c>
      <c r="E189" s="4" t="s">
        <v>17</v>
      </c>
      <c r="F189" s="4" t="s">
        <v>1603</v>
      </c>
      <c r="G189" s="4" t="s">
        <v>1604</v>
      </c>
      <c r="H189" s="32" t="s">
        <v>1270</v>
      </c>
    </row>
    <row r="190" spans="1:8">
      <c r="A190" s="31">
        <v>189</v>
      </c>
      <c r="B190" s="5" t="s">
        <v>615</v>
      </c>
      <c r="C190" s="4" t="s">
        <v>616</v>
      </c>
      <c r="D190" s="4" t="s">
        <v>617</v>
      </c>
      <c r="E190" s="4" t="s">
        <v>19</v>
      </c>
      <c r="F190" s="4" t="s">
        <v>1605</v>
      </c>
      <c r="G190" s="4" t="s">
        <v>1606</v>
      </c>
      <c r="H190" s="32"/>
    </row>
    <row r="191" spans="1:8">
      <c r="A191" s="31">
        <v>190</v>
      </c>
      <c r="B191" s="5" t="s">
        <v>618</v>
      </c>
      <c r="C191" s="4" t="s">
        <v>619</v>
      </c>
      <c r="D191" s="4" t="s">
        <v>253</v>
      </c>
      <c r="E191" s="4" t="s">
        <v>19</v>
      </c>
      <c r="F191" s="4" t="s">
        <v>1607</v>
      </c>
      <c r="G191" s="4" t="s">
        <v>1392</v>
      </c>
      <c r="H191" s="32"/>
    </row>
    <row r="192" spans="1:8">
      <c r="A192" s="31">
        <v>191</v>
      </c>
      <c r="B192" s="5" t="s">
        <v>620</v>
      </c>
      <c r="C192" s="4" t="s">
        <v>621</v>
      </c>
      <c r="D192" s="4" t="s">
        <v>253</v>
      </c>
      <c r="E192" s="4" t="s">
        <v>19</v>
      </c>
      <c r="F192" s="4" t="s">
        <v>1608</v>
      </c>
      <c r="G192" s="4" t="s">
        <v>1392</v>
      </c>
      <c r="H192" s="32"/>
    </row>
    <row r="193" spans="1:8">
      <c r="A193" s="31">
        <v>192</v>
      </c>
      <c r="B193" s="5" t="s">
        <v>622</v>
      </c>
      <c r="C193" s="4" t="s">
        <v>623</v>
      </c>
      <c r="D193" s="4" t="s">
        <v>253</v>
      </c>
      <c r="E193" s="4" t="s">
        <v>19</v>
      </c>
      <c r="F193" s="4" t="s">
        <v>1609</v>
      </c>
      <c r="G193" s="4" t="s">
        <v>1392</v>
      </c>
      <c r="H193" s="32"/>
    </row>
    <row r="194" spans="1:8">
      <c r="A194" s="31">
        <v>193</v>
      </c>
      <c r="B194" s="5" t="s">
        <v>624</v>
      </c>
      <c r="C194" s="4" t="s">
        <v>625</v>
      </c>
      <c r="D194" s="4" t="s">
        <v>253</v>
      </c>
      <c r="E194" s="4" t="s">
        <v>19</v>
      </c>
      <c r="F194" s="4" t="s">
        <v>1610</v>
      </c>
      <c r="G194" s="4" t="s">
        <v>1392</v>
      </c>
      <c r="H194" s="32"/>
    </row>
    <row r="195" spans="1:8">
      <c r="A195" s="31">
        <v>194</v>
      </c>
      <c r="B195" s="5" t="s">
        <v>626</v>
      </c>
      <c r="C195" s="4" t="s">
        <v>627</v>
      </c>
      <c r="D195" s="4" t="s">
        <v>253</v>
      </c>
      <c r="E195" s="4" t="s">
        <v>19</v>
      </c>
      <c r="F195" s="4" t="s">
        <v>1611</v>
      </c>
      <c r="G195" s="4" t="s">
        <v>1392</v>
      </c>
      <c r="H195" s="32"/>
    </row>
    <row r="196" spans="1:8">
      <c r="A196" s="31">
        <v>195</v>
      </c>
      <c r="B196" s="5" t="s">
        <v>628</v>
      </c>
      <c r="C196" s="4" t="s">
        <v>629</v>
      </c>
      <c r="D196" s="4" t="s">
        <v>630</v>
      </c>
      <c r="E196" s="4" t="s">
        <v>253</v>
      </c>
      <c r="F196" s="4" t="s">
        <v>1612</v>
      </c>
      <c r="G196" s="4" t="s">
        <v>1613</v>
      </c>
      <c r="H196" s="32" t="s">
        <v>1392</v>
      </c>
    </row>
    <row r="197" spans="1:8">
      <c r="A197" s="31">
        <v>196</v>
      </c>
      <c r="B197" s="5" t="s">
        <v>631</v>
      </c>
      <c r="C197" s="4" t="s">
        <v>632</v>
      </c>
      <c r="D197" s="4" t="s">
        <v>633</v>
      </c>
      <c r="E197" s="4" t="s">
        <v>17</v>
      </c>
      <c r="F197" s="4" t="s">
        <v>1614</v>
      </c>
      <c r="G197" s="4" t="s">
        <v>1615</v>
      </c>
      <c r="H197" s="32" t="s">
        <v>1270</v>
      </c>
    </row>
    <row r="198" spans="1:8">
      <c r="A198" s="31">
        <v>197</v>
      </c>
      <c r="B198" s="5" t="s">
        <v>634</v>
      </c>
      <c r="C198" s="4" t="s">
        <v>635</v>
      </c>
      <c r="D198" s="4" t="s">
        <v>636</v>
      </c>
      <c r="E198" s="4" t="s">
        <v>19</v>
      </c>
      <c r="F198" s="4" t="s">
        <v>1616</v>
      </c>
      <c r="G198" s="4" t="s">
        <v>1270</v>
      </c>
      <c r="H198" s="32"/>
    </row>
    <row r="199" spans="1:8">
      <c r="A199" s="31">
        <v>198</v>
      </c>
      <c r="B199" s="5" t="s">
        <v>637</v>
      </c>
      <c r="C199" s="4" t="s">
        <v>638</v>
      </c>
      <c r="D199" s="4" t="s">
        <v>639</v>
      </c>
      <c r="E199" s="4" t="s">
        <v>253</v>
      </c>
      <c r="F199" s="4" t="s">
        <v>1617</v>
      </c>
      <c r="G199" s="4" t="s">
        <v>1618</v>
      </c>
      <c r="H199" s="32" t="s">
        <v>1392</v>
      </c>
    </row>
    <row r="200" spans="1:8">
      <c r="A200" s="31">
        <v>199</v>
      </c>
      <c r="B200" s="5" t="s">
        <v>640</v>
      </c>
      <c r="C200" s="4" t="s">
        <v>641</v>
      </c>
      <c r="D200" s="4" t="s">
        <v>642</v>
      </c>
      <c r="E200" s="4" t="s">
        <v>28</v>
      </c>
      <c r="F200" s="4" t="s">
        <v>1619</v>
      </c>
      <c r="G200" s="4" t="s">
        <v>1620</v>
      </c>
      <c r="H200" s="32" t="s">
        <v>1273</v>
      </c>
    </row>
    <row r="201" spans="1:8">
      <c r="A201" s="31">
        <v>200</v>
      </c>
      <c r="B201" s="5" t="s">
        <v>643</v>
      </c>
      <c r="C201" s="4" t="s">
        <v>644</v>
      </c>
      <c r="D201" s="4" t="s">
        <v>645</v>
      </c>
      <c r="E201" s="4" t="s">
        <v>28</v>
      </c>
      <c r="F201" s="4" t="s">
        <v>1621</v>
      </c>
      <c r="G201" s="4" t="s">
        <v>1622</v>
      </c>
      <c r="H201" s="32" t="s">
        <v>1273</v>
      </c>
    </row>
    <row r="202" spans="1:8">
      <c r="A202" s="31">
        <v>201</v>
      </c>
      <c r="B202" s="5" t="s">
        <v>646</v>
      </c>
      <c r="C202" s="4" t="s">
        <v>647</v>
      </c>
      <c r="D202" s="4" t="s">
        <v>648</v>
      </c>
      <c r="E202" s="4" t="s">
        <v>28</v>
      </c>
      <c r="F202" s="4" t="s">
        <v>1623</v>
      </c>
      <c r="G202" s="4" t="s">
        <v>1624</v>
      </c>
      <c r="H202" s="32" t="s">
        <v>1273</v>
      </c>
    </row>
    <row r="203" spans="1:8">
      <c r="A203" s="31">
        <v>202</v>
      </c>
      <c r="B203" s="5" t="s">
        <v>649</v>
      </c>
      <c r="C203" s="4" t="s">
        <v>650</v>
      </c>
      <c r="D203" s="4" t="s">
        <v>651</v>
      </c>
      <c r="E203" s="4" t="s">
        <v>19</v>
      </c>
      <c r="F203" s="4" t="s">
        <v>1625</v>
      </c>
      <c r="G203" s="4" t="s">
        <v>1626</v>
      </c>
      <c r="H203" s="32"/>
    </row>
    <row r="204" spans="1:8">
      <c r="A204" s="31">
        <v>203</v>
      </c>
      <c r="B204" s="5" t="s">
        <v>652</v>
      </c>
      <c r="C204" s="4" t="s">
        <v>653</v>
      </c>
      <c r="D204" s="4" t="s">
        <v>654</v>
      </c>
      <c r="E204" s="4" t="s">
        <v>19</v>
      </c>
      <c r="F204" s="4" t="s">
        <v>1627</v>
      </c>
      <c r="G204" s="4" t="s">
        <v>1628</v>
      </c>
      <c r="H204" s="32"/>
    </row>
    <row r="205" spans="1:8">
      <c r="A205" s="31">
        <v>204</v>
      </c>
      <c r="B205" s="5" t="s">
        <v>655</v>
      </c>
      <c r="C205" s="4" t="s">
        <v>656</v>
      </c>
      <c r="D205" s="4" t="s">
        <v>657</v>
      </c>
      <c r="E205" s="4" t="s">
        <v>28</v>
      </c>
      <c r="F205" s="4" t="s">
        <v>1629</v>
      </c>
      <c r="G205" s="4" t="s">
        <v>1630</v>
      </c>
      <c r="H205" s="32" t="s">
        <v>1273</v>
      </c>
    </row>
    <row r="206" spans="1:8">
      <c r="A206" s="31">
        <v>205</v>
      </c>
      <c r="B206" s="5" t="s">
        <v>658</v>
      </c>
      <c r="C206" s="4" t="s">
        <v>659</v>
      </c>
      <c r="D206" s="4" t="s">
        <v>603</v>
      </c>
      <c r="E206" s="4" t="s">
        <v>19</v>
      </c>
      <c r="F206" s="4" t="s">
        <v>1631</v>
      </c>
      <c r="G206" s="4" t="s">
        <v>1600</v>
      </c>
      <c r="H206" s="32"/>
    </row>
    <row r="207" spans="1:8">
      <c r="A207" s="31">
        <v>206</v>
      </c>
      <c r="B207" s="5" t="s">
        <v>660</v>
      </c>
      <c r="C207" s="4" t="s">
        <v>661</v>
      </c>
      <c r="D207" s="4" t="s">
        <v>603</v>
      </c>
      <c r="E207" s="4" t="s">
        <v>19</v>
      </c>
      <c r="F207" s="4" t="s">
        <v>1632</v>
      </c>
      <c r="G207" s="4" t="s">
        <v>1600</v>
      </c>
      <c r="H207" s="32"/>
    </row>
    <row r="208" spans="1:8">
      <c r="A208" s="31">
        <v>207</v>
      </c>
      <c r="B208" s="5" t="s">
        <v>662</v>
      </c>
      <c r="C208" s="4" t="s">
        <v>663</v>
      </c>
      <c r="D208" s="4" t="s">
        <v>603</v>
      </c>
      <c r="E208" s="4" t="s">
        <v>19</v>
      </c>
      <c r="F208" s="4" t="s">
        <v>1633</v>
      </c>
      <c r="G208" s="4" t="s">
        <v>1600</v>
      </c>
      <c r="H208" s="32"/>
    </row>
    <row r="209" spans="1:8">
      <c r="A209" s="31">
        <v>208</v>
      </c>
      <c r="B209" s="5" t="s">
        <v>664</v>
      </c>
      <c r="C209" s="4" t="s">
        <v>665</v>
      </c>
      <c r="D209" s="4" t="s">
        <v>666</v>
      </c>
      <c r="E209" s="4" t="s">
        <v>19</v>
      </c>
      <c r="F209" s="4" t="s">
        <v>1634</v>
      </c>
      <c r="G209" s="4" t="s">
        <v>1635</v>
      </c>
      <c r="H209" s="32"/>
    </row>
    <row r="210" spans="1:8">
      <c r="A210" s="31">
        <v>209</v>
      </c>
      <c r="B210" s="5" t="s">
        <v>667</v>
      </c>
      <c r="C210" s="4" t="s">
        <v>668</v>
      </c>
      <c r="D210" s="4" t="s">
        <v>669</v>
      </c>
      <c r="E210" s="4" t="s">
        <v>19</v>
      </c>
      <c r="F210" s="4" t="s">
        <v>1636</v>
      </c>
      <c r="G210" s="4" t="s">
        <v>1637</v>
      </c>
      <c r="H210" s="32"/>
    </row>
    <row r="211" spans="1:8">
      <c r="A211" s="31">
        <v>210</v>
      </c>
      <c r="B211" s="5" t="s">
        <v>670</v>
      </c>
      <c r="C211" s="4" t="s">
        <v>671</v>
      </c>
      <c r="D211" s="4" t="s">
        <v>672</v>
      </c>
      <c r="E211" s="4" t="s">
        <v>19</v>
      </c>
      <c r="F211" s="4" t="s">
        <v>1638</v>
      </c>
      <c r="G211" s="4" t="s">
        <v>1639</v>
      </c>
      <c r="H211" s="32"/>
    </row>
    <row r="212" spans="1:8">
      <c r="A212" s="31">
        <v>211</v>
      </c>
      <c r="B212" s="5" t="s">
        <v>673</v>
      </c>
      <c r="C212" s="4" t="s">
        <v>674</v>
      </c>
      <c r="D212" s="4" t="s">
        <v>675</v>
      </c>
      <c r="E212" s="4" t="s">
        <v>267</v>
      </c>
      <c r="F212" s="4" t="s">
        <v>1640</v>
      </c>
      <c r="G212" s="4" t="s">
        <v>1641</v>
      </c>
      <c r="H212" s="32" t="s">
        <v>1347</v>
      </c>
    </row>
    <row r="213" spans="1:8">
      <c r="A213" s="31">
        <v>212</v>
      </c>
      <c r="B213" s="5" t="s">
        <v>676</v>
      </c>
      <c r="C213" s="4" t="s">
        <v>677</v>
      </c>
      <c r="D213" s="4" t="s">
        <v>678</v>
      </c>
      <c r="E213" s="4" t="s">
        <v>19</v>
      </c>
      <c r="F213" s="4" t="s">
        <v>1642</v>
      </c>
      <c r="G213" s="4" t="s">
        <v>1643</v>
      </c>
      <c r="H213" s="32"/>
    </row>
    <row r="214" spans="1:8">
      <c r="A214" s="31">
        <v>213</v>
      </c>
      <c r="B214" s="5" t="s">
        <v>679</v>
      </c>
      <c r="C214" s="4" t="s">
        <v>680</v>
      </c>
      <c r="D214" s="4" t="s">
        <v>681</v>
      </c>
      <c r="E214" s="4" t="s">
        <v>342</v>
      </c>
      <c r="F214" s="4" t="s">
        <v>1644</v>
      </c>
      <c r="G214" s="4" t="s">
        <v>1645</v>
      </c>
      <c r="H214" s="32" t="s">
        <v>1444</v>
      </c>
    </row>
    <row r="215" spans="1:8">
      <c r="A215" s="31">
        <v>214</v>
      </c>
      <c r="B215" s="5" t="s">
        <v>682</v>
      </c>
      <c r="C215" s="4" t="s">
        <v>683</v>
      </c>
      <c r="D215" s="4" t="s">
        <v>684</v>
      </c>
      <c r="E215" s="4" t="s">
        <v>342</v>
      </c>
      <c r="F215" s="4" t="s">
        <v>1646</v>
      </c>
      <c r="G215" s="4" t="s">
        <v>1647</v>
      </c>
      <c r="H215" s="32" t="s">
        <v>1444</v>
      </c>
    </row>
    <row r="216" spans="1:8">
      <c r="A216" s="31">
        <v>215</v>
      </c>
      <c r="B216" s="5" t="s">
        <v>685</v>
      </c>
      <c r="C216" s="4" t="s">
        <v>686</v>
      </c>
      <c r="D216" s="4" t="s">
        <v>687</v>
      </c>
      <c r="E216" s="4" t="s">
        <v>342</v>
      </c>
      <c r="F216" s="4" t="s">
        <v>1648</v>
      </c>
      <c r="G216" s="4" t="s">
        <v>1649</v>
      </c>
      <c r="H216" s="32" t="s">
        <v>1444</v>
      </c>
    </row>
    <row r="217" spans="1:8">
      <c r="A217" s="31">
        <v>216</v>
      </c>
      <c r="B217" s="5" t="s">
        <v>688</v>
      </c>
      <c r="C217" s="4" t="s">
        <v>689</v>
      </c>
      <c r="D217" s="4" t="s">
        <v>690</v>
      </c>
      <c r="E217" s="4" t="s">
        <v>342</v>
      </c>
      <c r="F217" s="4" t="s">
        <v>1650</v>
      </c>
      <c r="G217" s="4" t="s">
        <v>1651</v>
      </c>
      <c r="H217" s="32" t="s">
        <v>1444</v>
      </c>
    </row>
    <row r="218" spans="1:8">
      <c r="A218" s="31">
        <v>217</v>
      </c>
      <c r="B218" s="5" t="s">
        <v>691</v>
      </c>
      <c r="C218" s="4" t="s">
        <v>692</v>
      </c>
      <c r="D218" s="4" t="s">
        <v>693</v>
      </c>
      <c r="E218" s="4" t="s">
        <v>19</v>
      </c>
      <c r="F218" s="4" t="s">
        <v>1652</v>
      </c>
      <c r="G218" s="4" t="s">
        <v>1653</v>
      </c>
      <c r="H218" s="32"/>
    </row>
    <row r="219" spans="1:8">
      <c r="A219" s="31">
        <v>218</v>
      </c>
      <c r="B219" s="5" t="s">
        <v>694</v>
      </c>
      <c r="C219" s="4" t="s">
        <v>695</v>
      </c>
      <c r="D219" s="4" t="s">
        <v>33</v>
      </c>
      <c r="E219" s="4" t="s">
        <v>19</v>
      </c>
      <c r="F219" s="4" t="s">
        <v>1654</v>
      </c>
      <c r="G219" s="4" t="s">
        <v>1275</v>
      </c>
      <c r="H219" s="32"/>
    </row>
    <row r="220" spans="1:8">
      <c r="A220" s="31">
        <v>219</v>
      </c>
      <c r="B220" s="5" t="s">
        <v>696</v>
      </c>
      <c r="C220" s="4" t="s">
        <v>697</v>
      </c>
      <c r="D220" s="4" t="s">
        <v>33</v>
      </c>
      <c r="E220" s="4" t="s">
        <v>19</v>
      </c>
      <c r="F220" s="4" t="s">
        <v>1655</v>
      </c>
      <c r="G220" s="4" t="s">
        <v>1275</v>
      </c>
      <c r="H220" s="32"/>
    </row>
    <row r="221" spans="1:8">
      <c r="A221" s="31">
        <v>220</v>
      </c>
      <c r="B221" s="5" t="s">
        <v>698</v>
      </c>
      <c r="C221" s="4" t="s">
        <v>699</v>
      </c>
      <c r="D221" s="4" t="s">
        <v>33</v>
      </c>
      <c r="E221" s="4" t="s">
        <v>19</v>
      </c>
      <c r="F221" s="4" t="s">
        <v>1656</v>
      </c>
      <c r="G221" s="4" t="s">
        <v>1275</v>
      </c>
      <c r="H221" s="32"/>
    </row>
    <row r="222" spans="1:8">
      <c r="A222" s="31">
        <v>221</v>
      </c>
      <c r="B222" s="5" t="s">
        <v>700</v>
      </c>
      <c r="C222" s="4" t="s">
        <v>701</v>
      </c>
      <c r="D222" s="4" t="s">
        <v>33</v>
      </c>
      <c r="E222" s="4" t="s">
        <v>19</v>
      </c>
      <c r="F222" s="4" t="s">
        <v>1657</v>
      </c>
      <c r="G222" s="4" t="s">
        <v>1275</v>
      </c>
      <c r="H222" s="32"/>
    </row>
    <row r="223" spans="1:8">
      <c r="A223" s="31">
        <v>222</v>
      </c>
      <c r="B223" s="5" t="s">
        <v>702</v>
      </c>
      <c r="C223" s="4" t="s">
        <v>703</v>
      </c>
      <c r="D223" s="4" t="s">
        <v>33</v>
      </c>
      <c r="E223" s="4" t="s">
        <v>19</v>
      </c>
      <c r="F223" s="4" t="s">
        <v>1658</v>
      </c>
      <c r="G223" s="4" t="s">
        <v>1275</v>
      </c>
      <c r="H223" s="32"/>
    </row>
    <row r="224" spans="1:8">
      <c r="A224" s="31">
        <v>223</v>
      </c>
      <c r="B224" s="5" t="s">
        <v>704</v>
      </c>
      <c r="C224" s="4" t="s">
        <v>705</v>
      </c>
      <c r="D224" s="4" t="s">
        <v>706</v>
      </c>
      <c r="E224" s="4" t="s">
        <v>19</v>
      </c>
      <c r="F224" s="4" t="s">
        <v>1659</v>
      </c>
      <c r="G224" s="4" t="s">
        <v>1660</v>
      </c>
      <c r="H224" s="32"/>
    </row>
    <row r="225" spans="1:8">
      <c r="A225" s="31">
        <v>224</v>
      </c>
      <c r="B225" s="5" t="s">
        <v>707</v>
      </c>
      <c r="C225" s="4" t="s">
        <v>708</v>
      </c>
      <c r="D225" s="4" t="s">
        <v>709</v>
      </c>
      <c r="E225" s="4" t="s">
        <v>19</v>
      </c>
      <c r="F225" s="4" t="s">
        <v>1661</v>
      </c>
      <c r="G225" s="4" t="s">
        <v>1662</v>
      </c>
      <c r="H225" s="32"/>
    </row>
    <row r="226" spans="1:8">
      <c r="A226" s="31">
        <v>225</v>
      </c>
      <c r="B226" s="5" t="s">
        <v>710</v>
      </c>
      <c r="C226" s="4" t="s">
        <v>711</v>
      </c>
      <c r="D226" s="4" t="s">
        <v>120</v>
      </c>
      <c r="E226" s="4" t="s">
        <v>19</v>
      </c>
      <c r="F226" s="4" t="s">
        <v>1663</v>
      </c>
      <c r="G226" s="4" t="s">
        <v>1322</v>
      </c>
      <c r="H226" s="32"/>
    </row>
    <row r="227" spans="1:8">
      <c r="A227" s="31">
        <v>226</v>
      </c>
      <c r="B227" s="5" t="s">
        <v>712</v>
      </c>
      <c r="C227" s="4" t="s">
        <v>713</v>
      </c>
      <c r="D227" s="4" t="s">
        <v>120</v>
      </c>
      <c r="E227" s="4" t="s">
        <v>19</v>
      </c>
      <c r="F227" s="4" t="s">
        <v>1664</v>
      </c>
      <c r="G227" s="4" t="s">
        <v>1322</v>
      </c>
      <c r="H227" s="32"/>
    </row>
    <row r="228" spans="1:8">
      <c r="A228" s="31">
        <v>227</v>
      </c>
      <c r="B228" s="5" t="s">
        <v>714</v>
      </c>
      <c r="C228" s="4" t="s">
        <v>715</v>
      </c>
      <c r="D228" s="4" t="s">
        <v>120</v>
      </c>
      <c r="E228" s="4" t="s">
        <v>19</v>
      </c>
      <c r="F228" s="4" t="s">
        <v>1665</v>
      </c>
      <c r="G228" s="4" t="s">
        <v>1322</v>
      </c>
      <c r="H228" s="32"/>
    </row>
    <row r="229" spans="1:8">
      <c r="A229" s="31">
        <v>228</v>
      </c>
      <c r="B229" s="5" t="s">
        <v>716</v>
      </c>
      <c r="C229" s="4" t="s">
        <v>717</v>
      </c>
      <c r="D229" s="4" t="s">
        <v>120</v>
      </c>
      <c r="E229" s="4" t="s">
        <v>19</v>
      </c>
      <c r="F229" s="4" t="s">
        <v>1666</v>
      </c>
      <c r="G229" s="4" t="s">
        <v>1322</v>
      </c>
      <c r="H229" s="32"/>
    </row>
    <row r="230" spans="1:8">
      <c r="A230" s="31">
        <v>229</v>
      </c>
      <c r="B230" s="5" t="s">
        <v>718</v>
      </c>
      <c r="C230" s="4" t="s">
        <v>719</v>
      </c>
      <c r="D230" s="4" t="s">
        <v>120</v>
      </c>
      <c r="E230" s="4" t="s">
        <v>19</v>
      </c>
      <c r="F230" s="4" t="s">
        <v>1667</v>
      </c>
      <c r="G230" s="4" t="s">
        <v>1322</v>
      </c>
      <c r="H230" s="32"/>
    </row>
    <row r="231" spans="1:8">
      <c r="A231" s="31">
        <v>230</v>
      </c>
      <c r="B231" s="5" t="s">
        <v>720</v>
      </c>
      <c r="C231" s="4" t="s">
        <v>721</v>
      </c>
      <c r="D231" s="4" t="s">
        <v>722</v>
      </c>
      <c r="E231" s="4" t="s">
        <v>19</v>
      </c>
      <c r="F231" s="4" t="s">
        <v>1668</v>
      </c>
      <c r="G231" s="4" t="s">
        <v>1669</v>
      </c>
      <c r="H231" s="32"/>
    </row>
    <row r="232" spans="1:8">
      <c r="A232" s="31">
        <v>231</v>
      </c>
      <c r="B232" s="5" t="s">
        <v>723</v>
      </c>
      <c r="C232" s="4" t="s">
        <v>724</v>
      </c>
      <c r="D232" s="4" t="s">
        <v>725</v>
      </c>
      <c r="E232" s="4" t="s">
        <v>342</v>
      </c>
      <c r="F232" s="4" t="s">
        <v>1670</v>
      </c>
      <c r="G232" s="4" t="s">
        <v>1671</v>
      </c>
      <c r="H232" s="32" t="s">
        <v>1444</v>
      </c>
    </row>
    <row r="233" spans="1:8">
      <c r="A233" s="31">
        <v>232</v>
      </c>
      <c r="B233" s="5" t="s">
        <v>726</v>
      </c>
      <c r="C233" s="4" t="s">
        <v>727</v>
      </c>
      <c r="D233" s="4" t="s">
        <v>728</v>
      </c>
      <c r="E233" s="4" t="s">
        <v>19</v>
      </c>
      <c r="F233" s="4" t="s">
        <v>1672</v>
      </c>
      <c r="G233" s="4" t="s">
        <v>1673</v>
      </c>
      <c r="H233" s="32"/>
    </row>
    <row r="234" spans="1:8">
      <c r="A234" s="31">
        <v>233</v>
      </c>
      <c r="B234" s="5" t="s">
        <v>729</v>
      </c>
      <c r="C234" s="4" t="s">
        <v>730</v>
      </c>
      <c r="D234" s="4" t="s">
        <v>731</v>
      </c>
      <c r="E234" s="4" t="s">
        <v>342</v>
      </c>
      <c r="F234" s="4" t="s">
        <v>1674</v>
      </c>
      <c r="G234" s="4" t="s">
        <v>1675</v>
      </c>
      <c r="H234" s="32" t="s">
        <v>1444</v>
      </c>
    </row>
    <row r="235" spans="1:8">
      <c r="A235" s="31">
        <v>234</v>
      </c>
      <c r="B235" s="5" t="s">
        <v>732</v>
      </c>
      <c r="C235" s="4" t="s">
        <v>733</v>
      </c>
      <c r="D235" s="4" t="s">
        <v>734</v>
      </c>
      <c r="E235" s="4" t="s">
        <v>342</v>
      </c>
      <c r="F235" s="4" t="s">
        <v>1676</v>
      </c>
      <c r="G235" s="4" t="s">
        <v>1677</v>
      </c>
      <c r="H235" s="32" t="s">
        <v>1444</v>
      </c>
    </row>
    <row r="236" spans="1:8">
      <c r="A236" s="31">
        <v>235</v>
      </c>
      <c r="B236" s="5" t="s">
        <v>735</v>
      </c>
      <c r="C236" s="4" t="s">
        <v>736</v>
      </c>
      <c r="D236" s="4" t="s">
        <v>737</v>
      </c>
      <c r="E236" s="4" t="s">
        <v>342</v>
      </c>
      <c r="F236" s="4" t="s">
        <v>1678</v>
      </c>
      <c r="G236" s="4" t="s">
        <v>1679</v>
      </c>
      <c r="H236" s="32" t="s">
        <v>1444</v>
      </c>
    </row>
    <row r="237" spans="1:8">
      <c r="A237" s="31">
        <v>236</v>
      </c>
      <c r="B237" s="5" t="s">
        <v>738</v>
      </c>
      <c r="C237" s="4" t="s">
        <v>739</v>
      </c>
      <c r="D237" s="4" t="s">
        <v>740</v>
      </c>
      <c r="E237" s="4" t="s">
        <v>19</v>
      </c>
      <c r="F237" s="4" t="s">
        <v>1680</v>
      </c>
      <c r="G237" s="4" t="s">
        <v>1643</v>
      </c>
      <c r="H237" s="32"/>
    </row>
    <row r="238" spans="1:8">
      <c r="A238" s="31">
        <v>237</v>
      </c>
      <c r="B238" s="5" t="s">
        <v>741</v>
      </c>
      <c r="C238" s="4" t="s">
        <v>742</v>
      </c>
      <c r="D238" s="4" t="s">
        <v>740</v>
      </c>
      <c r="E238" s="4" t="s">
        <v>19</v>
      </c>
      <c r="F238" s="4" t="s">
        <v>1681</v>
      </c>
      <c r="G238" s="4" t="s">
        <v>1643</v>
      </c>
      <c r="H238" s="32"/>
    </row>
    <row r="239" spans="1:8">
      <c r="A239" s="31">
        <v>238</v>
      </c>
      <c r="B239" s="5" t="s">
        <v>743</v>
      </c>
      <c r="C239" s="4" t="s">
        <v>744</v>
      </c>
      <c r="D239" s="4" t="s">
        <v>740</v>
      </c>
      <c r="E239" s="4" t="s">
        <v>19</v>
      </c>
      <c r="F239" s="4" t="s">
        <v>1682</v>
      </c>
      <c r="G239" s="4" t="s">
        <v>1643</v>
      </c>
      <c r="H239" s="32"/>
    </row>
    <row r="240" spans="1:8">
      <c r="A240" s="31">
        <v>239</v>
      </c>
      <c r="B240" s="5" t="s">
        <v>745</v>
      </c>
      <c r="C240" s="4" t="s">
        <v>746</v>
      </c>
      <c r="D240" s="4" t="s">
        <v>740</v>
      </c>
      <c r="E240" s="4" t="s">
        <v>19</v>
      </c>
      <c r="F240" s="4" t="s">
        <v>1683</v>
      </c>
      <c r="G240" s="4" t="s">
        <v>1643</v>
      </c>
      <c r="H240" s="32"/>
    </row>
    <row r="241" spans="1:8">
      <c r="A241" s="31">
        <v>240</v>
      </c>
      <c r="B241" s="5" t="s">
        <v>747</v>
      </c>
      <c r="C241" s="4" t="s">
        <v>748</v>
      </c>
      <c r="D241" s="4" t="s">
        <v>740</v>
      </c>
      <c r="E241" s="4" t="s">
        <v>19</v>
      </c>
      <c r="F241" s="4" t="s">
        <v>1684</v>
      </c>
      <c r="G241" s="4" t="s">
        <v>1643</v>
      </c>
      <c r="H241" s="32"/>
    </row>
    <row r="242" spans="1:8">
      <c r="A242" s="31">
        <v>241</v>
      </c>
      <c r="B242" s="5" t="s">
        <v>749</v>
      </c>
      <c r="C242" s="4" t="s">
        <v>750</v>
      </c>
      <c r="D242" s="4" t="s">
        <v>751</v>
      </c>
      <c r="E242" s="4" t="s">
        <v>19</v>
      </c>
      <c r="F242" s="4" t="s">
        <v>1685</v>
      </c>
      <c r="G242" s="4" t="s">
        <v>1686</v>
      </c>
      <c r="H242" s="32"/>
    </row>
    <row r="243" spans="1:8">
      <c r="A243" s="31">
        <v>242</v>
      </c>
      <c r="B243" s="5" t="s">
        <v>754</v>
      </c>
      <c r="C243" s="4" t="s">
        <v>755</v>
      </c>
      <c r="D243" s="4" t="s">
        <v>756</v>
      </c>
      <c r="E243" s="4" t="s">
        <v>757</v>
      </c>
      <c r="F243" s="4" t="s">
        <v>1687</v>
      </c>
      <c r="G243" s="4" t="s">
        <v>1688</v>
      </c>
      <c r="H243" s="32" t="s">
        <v>1689</v>
      </c>
    </row>
    <row r="244" spans="1:8">
      <c r="A244" s="31">
        <v>243</v>
      </c>
      <c r="B244" s="5" t="s">
        <v>758</v>
      </c>
      <c r="C244" s="4" t="s">
        <v>759</v>
      </c>
      <c r="D244" s="4" t="s">
        <v>757</v>
      </c>
      <c r="E244" s="4" t="s">
        <v>19</v>
      </c>
      <c r="F244" s="4" t="s">
        <v>1690</v>
      </c>
      <c r="G244" s="4" t="s">
        <v>1689</v>
      </c>
      <c r="H244" s="32"/>
    </row>
    <row r="245" spans="1:8">
      <c r="A245" s="31">
        <v>244</v>
      </c>
      <c r="B245" s="5" t="s">
        <v>760</v>
      </c>
      <c r="C245" s="4" t="s">
        <v>761</v>
      </c>
      <c r="D245" s="4" t="s">
        <v>762</v>
      </c>
      <c r="E245" s="4" t="s">
        <v>19</v>
      </c>
      <c r="F245" s="4" t="s">
        <v>1691</v>
      </c>
      <c r="G245" s="4" t="s">
        <v>1692</v>
      </c>
      <c r="H245" s="32"/>
    </row>
    <row r="246" spans="1:8">
      <c r="A246" s="31">
        <v>245</v>
      </c>
      <c r="B246" s="5" t="s">
        <v>763</v>
      </c>
      <c r="C246" s="4" t="s">
        <v>764</v>
      </c>
      <c r="D246" s="4" t="s">
        <v>765</v>
      </c>
      <c r="E246" s="4" t="s">
        <v>19</v>
      </c>
      <c r="F246" s="4" t="s">
        <v>1693</v>
      </c>
      <c r="G246" s="4" t="s">
        <v>1689</v>
      </c>
      <c r="H246" s="32"/>
    </row>
    <row r="247" spans="1:8">
      <c r="A247" s="31">
        <v>246</v>
      </c>
      <c r="B247" s="5" t="s">
        <v>766</v>
      </c>
      <c r="C247" s="4" t="s">
        <v>767</v>
      </c>
      <c r="D247" s="4" t="s">
        <v>768</v>
      </c>
      <c r="E247" s="4" t="s">
        <v>19</v>
      </c>
      <c r="F247" s="4" t="s">
        <v>1694</v>
      </c>
      <c r="G247" s="4" t="s">
        <v>1695</v>
      </c>
      <c r="H247" s="32"/>
    </row>
    <row r="248" spans="1:8">
      <c r="A248" s="31">
        <v>247</v>
      </c>
      <c r="B248" s="5" t="s">
        <v>769</v>
      </c>
      <c r="C248" s="4" t="s">
        <v>770</v>
      </c>
      <c r="D248" s="4" t="s">
        <v>771</v>
      </c>
      <c r="E248" s="4" t="s">
        <v>19</v>
      </c>
      <c r="F248" s="4" t="s">
        <v>1696</v>
      </c>
      <c r="G248" s="4" t="s">
        <v>1697</v>
      </c>
      <c r="H248" s="32"/>
    </row>
    <row r="249" spans="1:8">
      <c r="A249" s="31">
        <v>248</v>
      </c>
      <c r="B249" s="5" t="s">
        <v>772</v>
      </c>
      <c r="C249" s="4" t="s">
        <v>773</v>
      </c>
      <c r="D249" s="4" t="s">
        <v>774</v>
      </c>
      <c r="E249" s="4" t="s">
        <v>603</v>
      </c>
      <c r="F249" s="4" t="s">
        <v>1698</v>
      </c>
      <c r="G249" s="4" t="s">
        <v>1699</v>
      </c>
      <c r="H249" s="32" t="s">
        <v>1600</v>
      </c>
    </row>
    <row r="250" spans="1:8">
      <c r="A250" s="31">
        <v>249</v>
      </c>
      <c r="B250" s="5" t="s">
        <v>775</v>
      </c>
      <c r="C250" s="4" t="s">
        <v>776</v>
      </c>
      <c r="D250" s="4" t="s">
        <v>603</v>
      </c>
      <c r="E250" s="4" t="s">
        <v>19</v>
      </c>
      <c r="F250" s="4" t="s">
        <v>1700</v>
      </c>
      <c r="G250" s="4" t="s">
        <v>1600</v>
      </c>
      <c r="H250" s="32"/>
    </row>
    <row r="251" spans="1:8">
      <c r="A251" s="31">
        <v>250</v>
      </c>
      <c r="B251" s="5" t="s">
        <v>777</v>
      </c>
      <c r="C251" s="4" t="s">
        <v>778</v>
      </c>
      <c r="D251" s="4" t="s">
        <v>603</v>
      </c>
      <c r="E251" s="4" t="s">
        <v>19</v>
      </c>
      <c r="F251" s="4" t="s">
        <v>1701</v>
      </c>
      <c r="G251" s="4" t="s">
        <v>1600</v>
      </c>
      <c r="H251" s="32"/>
    </row>
    <row r="252" spans="1:8">
      <c r="A252" s="31">
        <v>251</v>
      </c>
      <c r="B252" s="5" t="s">
        <v>779</v>
      </c>
      <c r="C252" s="4" t="s">
        <v>780</v>
      </c>
      <c r="D252" s="4" t="s">
        <v>781</v>
      </c>
      <c r="E252" s="4" t="s">
        <v>267</v>
      </c>
      <c r="F252" s="4" t="s">
        <v>1702</v>
      </c>
      <c r="G252" s="4" t="s">
        <v>1703</v>
      </c>
      <c r="H252" s="32" t="s">
        <v>1347</v>
      </c>
    </row>
    <row r="253" spans="1:8">
      <c r="A253" s="31">
        <v>252</v>
      </c>
      <c r="B253" s="5" t="s">
        <v>782</v>
      </c>
      <c r="C253" s="4" t="s">
        <v>783</v>
      </c>
      <c r="D253" s="4" t="s">
        <v>267</v>
      </c>
      <c r="E253" s="4" t="s">
        <v>19</v>
      </c>
      <c r="F253" s="4" t="s">
        <v>1704</v>
      </c>
      <c r="G253" s="4" t="s">
        <v>1347</v>
      </c>
      <c r="H253" s="32"/>
    </row>
    <row r="254" spans="1:8">
      <c r="A254" s="31">
        <v>253</v>
      </c>
      <c r="B254" s="5" t="s">
        <v>784</v>
      </c>
      <c r="C254" s="4" t="s">
        <v>785</v>
      </c>
      <c r="D254" s="4" t="s">
        <v>267</v>
      </c>
      <c r="E254" s="4" t="s">
        <v>19</v>
      </c>
      <c r="F254" s="4" t="s">
        <v>1705</v>
      </c>
      <c r="G254" s="4" t="s">
        <v>1347</v>
      </c>
      <c r="H254" s="32"/>
    </row>
    <row r="255" spans="1:8">
      <c r="A255" s="31">
        <v>254</v>
      </c>
      <c r="B255" s="5" t="s">
        <v>786</v>
      </c>
      <c r="C255" s="4" t="s">
        <v>787</v>
      </c>
      <c r="D255" s="4" t="s">
        <v>267</v>
      </c>
      <c r="E255" s="4" t="s">
        <v>19</v>
      </c>
      <c r="F255" s="4" t="s">
        <v>1706</v>
      </c>
      <c r="G255" s="4" t="s">
        <v>1347</v>
      </c>
      <c r="H255" s="32"/>
    </row>
    <row r="256" spans="1:8">
      <c r="A256" s="31">
        <v>255</v>
      </c>
      <c r="B256" s="5" t="s">
        <v>788</v>
      </c>
      <c r="C256" s="4" t="s">
        <v>789</v>
      </c>
      <c r="D256" s="4" t="s">
        <v>267</v>
      </c>
      <c r="E256" s="4" t="s">
        <v>19</v>
      </c>
      <c r="F256" s="4" t="s">
        <v>1707</v>
      </c>
      <c r="G256" s="4" t="s">
        <v>1347</v>
      </c>
      <c r="H256" s="32"/>
    </row>
    <row r="257" spans="1:8">
      <c r="A257" s="31">
        <v>256</v>
      </c>
      <c r="B257" s="5" t="s">
        <v>790</v>
      </c>
      <c r="C257" s="4" t="s">
        <v>791</v>
      </c>
      <c r="D257" s="4" t="s">
        <v>792</v>
      </c>
      <c r="E257" s="4" t="s">
        <v>267</v>
      </c>
      <c r="F257" s="4" t="s">
        <v>1708</v>
      </c>
      <c r="G257" s="4" t="s">
        <v>1709</v>
      </c>
      <c r="H257" s="32" t="s">
        <v>1347</v>
      </c>
    </row>
    <row r="258" spans="1:8">
      <c r="A258" s="31">
        <v>257</v>
      </c>
      <c r="B258" s="5" t="s">
        <v>793</v>
      </c>
      <c r="C258" s="4" t="s">
        <v>794</v>
      </c>
      <c r="D258" s="4" t="s">
        <v>267</v>
      </c>
      <c r="E258" s="4" t="s">
        <v>19</v>
      </c>
      <c r="F258" s="4" t="s">
        <v>1710</v>
      </c>
      <c r="G258" s="4" t="s">
        <v>1347</v>
      </c>
      <c r="H258" s="32"/>
    </row>
    <row r="259" spans="1:8">
      <c r="A259" s="31">
        <v>258</v>
      </c>
      <c r="B259" s="5" t="s">
        <v>795</v>
      </c>
      <c r="C259" s="4" t="s">
        <v>796</v>
      </c>
      <c r="D259" s="4" t="s">
        <v>267</v>
      </c>
      <c r="E259" s="4" t="s">
        <v>19</v>
      </c>
      <c r="F259" s="4" t="s">
        <v>1711</v>
      </c>
      <c r="G259" s="4" t="s">
        <v>1347</v>
      </c>
      <c r="H259" s="32"/>
    </row>
    <row r="260" spans="1:8">
      <c r="A260" s="31">
        <v>259</v>
      </c>
      <c r="B260" s="5" t="s">
        <v>797</v>
      </c>
      <c r="C260" s="4" t="s">
        <v>798</v>
      </c>
      <c r="D260" s="4" t="s">
        <v>799</v>
      </c>
      <c r="E260" s="4" t="s">
        <v>267</v>
      </c>
      <c r="F260" s="4" t="s">
        <v>1712</v>
      </c>
      <c r="G260" s="4" t="s">
        <v>1713</v>
      </c>
      <c r="H260" s="32" t="s">
        <v>1347</v>
      </c>
    </row>
    <row r="261" spans="1:8">
      <c r="A261" s="31">
        <v>260</v>
      </c>
      <c r="B261" s="5" t="s">
        <v>800</v>
      </c>
      <c r="C261" s="4" t="s">
        <v>801</v>
      </c>
      <c r="D261" s="4" t="s">
        <v>603</v>
      </c>
      <c r="E261" s="4" t="s">
        <v>19</v>
      </c>
      <c r="F261" s="4" t="s">
        <v>1714</v>
      </c>
      <c r="G261" s="4" t="s">
        <v>1600</v>
      </c>
      <c r="H261" s="32"/>
    </row>
    <row r="262" spans="1:8">
      <c r="A262" s="31">
        <v>261</v>
      </c>
      <c r="B262" s="5" t="s">
        <v>802</v>
      </c>
      <c r="C262" s="4" t="s">
        <v>803</v>
      </c>
      <c r="D262" s="4" t="s">
        <v>603</v>
      </c>
      <c r="E262" s="4" t="s">
        <v>19</v>
      </c>
      <c r="F262" s="4" t="s">
        <v>1715</v>
      </c>
      <c r="G262" s="4" t="s">
        <v>1600</v>
      </c>
      <c r="H262" s="32"/>
    </row>
    <row r="263" spans="1:8">
      <c r="A263" s="31">
        <v>262</v>
      </c>
      <c r="B263" s="5" t="s">
        <v>804</v>
      </c>
      <c r="C263" s="4" t="s">
        <v>805</v>
      </c>
      <c r="D263" s="4" t="s">
        <v>806</v>
      </c>
      <c r="E263" s="4" t="s">
        <v>603</v>
      </c>
      <c r="F263" s="4" t="s">
        <v>1716</v>
      </c>
      <c r="G263" s="4" t="s">
        <v>1717</v>
      </c>
      <c r="H263" s="32" t="s">
        <v>1600</v>
      </c>
    </row>
    <row r="264" spans="1:8">
      <c r="A264" s="31">
        <v>263</v>
      </c>
      <c r="B264" s="5" t="s">
        <v>807</v>
      </c>
      <c r="C264" s="4" t="s">
        <v>808</v>
      </c>
      <c r="D264" s="4" t="s">
        <v>603</v>
      </c>
      <c r="E264" s="4" t="s">
        <v>19</v>
      </c>
      <c r="F264" s="4" t="s">
        <v>1718</v>
      </c>
      <c r="G264" s="4" t="s">
        <v>1600</v>
      </c>
      <c r="H264" s="32"/>
    </row>
    <row r="265" spans="1:8">
      <c r="A265" s="31">
        <v>264</v>
      </c>
      <c r="B265" s="5" t="s">
        <v>809</v>
      </c>
      <c r="C265" s="4" t="s">
        <v>810</v>
      </c>
      <c r="D265" s="4" t="s">
        <v>603</v>
      </c>
      <c r="E265" s="4" t="s">
        <v>19</v>
      </c>
      <c r="F265" s="4" t="s">
        <v>1719</v>
      </c>
      <c r="G265" s="4" t="s">
        <v>1600</v>
      </c>
      <c r="H265" s="32"/>
    </row>
    <row r="266" spans="1:8">
      <c r="A266" s="31">
        <v>265</v>
      </c>
      <c r="B266" s="5" t="s">
        <v>811</v>
      </c>
      <c r="C266" s="4" t="s">
        <v>812</v>
      </c>
      <c r="D266" s="4" t="s">
        <v>813</v>
      </c>
      <c r="E266" s="4" t="s">
        <v>19</v>
      </c>
      <c r="F266" s="4" t="s">
        <v>1720</v>
      </c>
      <c r="G266" s="4" t="s">
        <v>1721</v>
      </c>
      <c r="H266" s="32"/>
    </row>
    <row r="267" spans="1:8">
      <c r="A267" s="31">
        <v>266</v>
      </c>
      <c r="B267" s="5" t="s">
        <v>816</v>
      </c>
      <c r="C267" s="4" t="s">
        <v>817</v>
      </c>
      <c r="D267" s="4" t="s">
        <v>818</v>
      </c>
      <c r="E267" s="4" t="s">
        <v>19</v>
      </c>
      <c r="F267" s="4" t="s">
        <v>1722</v>
      </c>
      <c r="G267" s="4" t="s">
        <v>1723</v>
      </c>
      <c r="H267" s="32"/>
    </row>
    <row r="268" spans="1:8">
      <c r="A268" s="31">
        <v>267</v>
      </c>
      <c r="B268" s="5" t="s">
        <v>819</v>
      </c>
      <c r="C268" s="4" t="s">
        <v>820</v>
      </c>
      <c r="D268" s="4" t="s">
        <v>821</v>
      </c>
      <c r="E268" s="4" t="s">
        <v>19</v>
      </c>
      <c r="F268" s="4" t="s">
        <v>1724</v>
      </c>
      <c r="G268" s="4" t="s">
        <v>1725</v>
      </c>
      <c r="H268" s="32"/>
    </row>
    <row r="269" spans="1:8">
      <c r="A269" s="31">
        <v>268</v>
      </c>
      <c r="B269" s="5" t="s">
        <v>822</v>
      </c>
      <c r="C269" s="4" t="s">
        <v>823</v>
      </c>
      <c r="D269" s="4" t="s">
        <v>824</v>
      </c>
      <c r="E269" s="4" t="s">
        <v>342</v>
      </c>
      <c r="F269" s="4" t="s">
        <v>1726</v>
      </c>
      <c r="G269" s="4" t="s">
        <v>1727</v>
      </c>
      <c r="H269" s="32" t="s">
        <v>1444</v>
      </c>
    </row>
    <row r="270" spans="1:8">
      <c r="A270" s="31">
        <v>269</v>
      </c>
      <c r="B270" s="5" t="s">
        <v>825</v>
      </c>
      <c r="C270" s="4" t="s">
        <v>826</v>
      </c>
      <c r="D270" s="4" t="s">
        <v>827</v>
      </c>
      <c r="E270" s="4" t="s">
        <v>19</v>
      </c>
      <c r="F270" s="4" t="s">
        <v>1728</v>
      </c>
      <c r="G270" s="4" t="s">
        <v>1729</v>
      </c>
      <c r="H270" s="32"/>
    </row>
    <row r="271" spans="1:8">
      <c r="A271" s="31">
        <v>270</v>
      </c>
      <c r="B271" s="5" t="s">
        <v>828</v>
      </c>
      <c r="C271" s="4" t="s">
        <v>829</v>
      </c>
      <c r="D271" s="4" t="s">
        <v>830</v>
      </c>
      <c r="E271" s="4" t="s">
        <v>342</v>
      </c>
      <c r="F271" s="4" t="s">
        <v>1730</v>
      </c>
      <c r="G271" s="4" t="s">
        <v>1731</v>
      </c>
      <c r="H271" s="32" t="s">
        <v>1444</v>
      </c>
    </row>
    <row r="272" spans="1:8">
      <c r="A272" s="31">
        <v>271</v>
      </c>
      <c r="B272" s="5" t="s">
        <v>831</v>
      </c>
      <c r="C272" s="4" t="s">
        <v>832</v>
      </c>
      <c r="D272" s="4" t="s">
        <v>833</v>
      </c>
      <c r="E272" s="4" t="s">
        <v>342</v>
      </c>
      <c r="F272" s="4" t="s">
        <v>1732</v>
      </c>
      <c r="G272" s="4" t="s">
        <v>1733</v>
      </c>
      <c r="H272" s="32" t="s">
        <v>1444</v>
      </c>
    </row>
    <row r="273" spans="1:8">
      <c r="A273" s="31">
        <v>272</v>
      </c>
      <c r="B273" s="5" t="s">
        <v>834</v>
      </c>
      <c r="C273" s="4" t="s">
        <v>835</v>
      </c>
      <c r="D273" s="4" t="s">
        <v>836</v>
      </c>
      <c r="E273" s="4" t="s">
        <v>19</v>
      </c>
      <c r="F273" s="4" t="s">
        <v>1734</v>
      </c>
      <c r="G273" s="4" t="s">
        <v>1735</v>
      </c>
      <c r="H273" s="32"/>
    </row>
    <row r="274" spans="1:8">
      <c r="A274" s="31">
        <v>273</v>
      </c>
      <c r="B274" s="5" t="s">
        <v>837</v>
      </c>
      <c r="C274" s="4" t="s">
        <v>838</v>
      </c>
      <c r="D274" s="4" t="s">
        <v>839</v>
      </c>
      <c r="E274" s="4" t="s">
        <v>840</v>
      </c>
      <c r="F274" s="4" t="s">
        <v>1736</v>
      </c>
      <c r="G274" s="4" t="s">
        <v>1737</v>
      </c>
      <c r="H274" s="32" t="s">
        <v>1738</v>
      </c>
    </row>
    <row r="275" spans="1:8">
      <c r="A275" s="31">
        <v>274</v>
      </c>
      <c r="B275" s="5" t="s">
        <v>843</v>
      </c>
      <c r="C275" s="4" t="s">
        <v>844</v>
      </c>
      <c r="D275" s="4" t="s">
        <v>845</v>
      </c>
      <c r="E275" s="4" t="s">
        <v>97</v>
      </c>
      <c r="F275" s="4" t="s">
        <v>1739</v>
      </c>
      <c r="G275" s="4" t="s">
        <v>1740</v>
      </c>
      <c r="H275" s="32" t="s">
        <v>1309</v>
      </c>
    </row>
    <row r="276" spans="1:8">
      <c r="A276" s="31">
        <v>275</v>
      </c>
      <c r="B276" s="5" t="s">
        <v>846</v>
      </c>
      <c r="C276" s="4" t="s">
        <v>847</v>
      </c>
      <c r="D276" s="4" t="s">
        <v>848</v>
      </c>
      <c r="E276" s="4" t="s">
        <v>97</v>
      </c>
      <c r="F276" s="4" t="s">
        <v>1741</v>
      </c>
      <c r="G276" s="4" t="s">
        <v>1742</v>
      </c>
      <c r="H276" s="32" t="s">
        <v>1309</v>
      </c>
    </row>
    <row r="277" spans="1:8">
      <c r="A277" s="31">
        <v>276</v>
      </c>
      <c r="B277" s="5" t="s">
        <v>849</v>
      </c>
      <c r="C277" s="4" t="s">
        <v>850</v>
      </c>
      <c r="D277" s="4" t="s">
        <v>851</v>
      </c>
      <c r="E277" s="4" t="s">
        <v>97</v>
      </c>
      <c r="F277" s="4" t="s">
        <v>1743</v>
      </c>
      <c r="G277" s="4" t="s">
        <v>1744</v>
      </c>
      <c r="H277" s="32" t="s">
        <v>1309</v>
      </c>
    </row>
    <row r="278" spans="1:8">
      <c r="A278" s="31">
        <v>277</v>
      </c>
      <c r="B278" s="5" t="s">
        <v>852</v>
      </c>
      <c r="C278" s="4" t="s">
        <v>853</v>
      </c>
      <c r="D278" s="4" t="s">
        <v>854</v>
      </c>
      <c r="E278" s="4" t="s">
        <v>19</v>
      </c>
      <c r="F278" s="4" t="s">
        <v>1745</v>
      </c>
      <c r="G278" s="4" t="s">
        <v>1746</v>
      </c>
      <c r="H278" s="32"/>
    </row>
    <row r="279" spans="1:8">
      <c r="A279" s="31">
        <v>278</v>
      </c>
      <c r="B279" s="5" t="s">
        <v>857</v>
      </c>
      <c r="C279" s="4" t="s">
        <v>858</v>
      </c>
      <c r="D279" s="4" t="s">
        <v>859</v>
      </c>
      <c r="E279" s="4" t="s">
        <v>19</v>
      </c>
      <c r="F279" s="4" t="s">
        <v>1747</v>
      </c>
      <c r="G279" s="4" t="s">
        <v>1748</v>
      </c>
      <c r="H279" s="32"/>
    </row>
    <row r="280" spans="1:8">
      <c r="A280" s="31">
        <v>279</v>
      </c>
      <c r="B280" s="5" t="s">
        <v>860</v>
      </c>
      <c r="C280" s="4" t="s">
        <v>861</v>
      </c>
      <c r="D280" s="4" t="s">
        <v>862</v>
      </c>
      <c r="E280" s="4" t="s">
        <v>253</v>
      </c>
      <c r="F280" s="4" t="s">
        <v>1749</v>
      </c>
      <c r="G280" s="4" t="s">
        <v>1750</v>
      </c>
      <c r="H280" s="32" t="s">
        <v>1392</v>
      </c>
    </row>
    <row r="281" spans="1:8">
      <c r="A281" s="31">
        <v>280</v>
      </c>
      <c r="B281" s="5" t="s">
        <v>863</v>
      </c>
      <c r="C281" s="4" t="s">
        <v>864</v>
      </c>
      <c r="D281" s="4" t="s">
        <v>865</v>
      </c>
      <c r="E281" s="4" t="s">
        <v>19</v>
      </c>
      <c r="F281" s="4" t="s">
        <v>1751</v>
      </c>
      <c r="G281" s="4" t="s">
        <v>1752</v>
      </c>
      <c r="H281" s="32"/>
    </row>
    <row r="282" spans="1:8">
      <c r="A282" s="31">
        <v>281</v>
      </c>
      <c r="B282" s="5" t="s">
        <v>866</v>
      </c>
      <c r="C282" s="4" t="s">
        <v>867</v>
      </c>
      <c r="D282" s="4" t="s">
        <v>868</v>
      </c>
      <c r="E282" s="4" t="s">
        <v>253</v>
      </c>
      <c r="F282" s="4" t="s">
        <v>1753</v>
      </c>
      <c r="G282" s="4" t="s">
        <v>1754</v>
      </c>
      <c r="H282" s="32" t="s">
        <v>1392</v>
      </c>
    </row>
    <row r="283" spans="1:8">
      <c r="A283" s="31">
        <v>282</v>
      </c>
      <c r="B283" s="5" t="s">
        <v>869</v>
      </c>
      <c r="C283" s="4" t="s">
        <v>870</v>
      </c>
      <c r="D283" s="4" t="s">
        <v>871</v>
      </c>
      <c r="E283" s="4" t="s">
        <v>253</v>
      </c>
      <c r="F283" s="4" t="s">
        <v>1755</v>
      </c>
      <c r="G283" s="4" t="s">
        <v>1382</v>
      </c>
      <c r="H283" s="32" t="s">
        <v>1392</v>
      </c>
    </row>
    <row r="284" spans="1:8">
      <c r="A284" s="31">
        <v>283</v>
      </c>
      <c r="B284" s="5" t="s">
        <v>872</v>
      </c>
      <c r="C284" s="4" t="s">
        <v>873</v>
      </c>
      <c r="D284" s="4" t="s">
        <v>874</v>
      </c>
      <c r="E284" s="4" t="s">
        <v>19</v>
      </c>
      <c r="F284" s="4" t="s">
        <v>1756</v>
      </c>
      <c r="G284" s="4" t="s">
        <v>1757</v>
      </c>
      <c r="H284" s="32"/>
    </row>
    <row r="285" spans="1:8">
      <c r="A285" s="31">
        <v>284</v>
      </c>
      <c r="B285" s="5" t="s">
        <v>875</v>
      </c>
      <c r="C285" s="4" t="s">
        <v>876</v>
      </c>
      <c r="D285" s="4" t="s">
        <v>877</v>
      </c>
      <c r="E285" s="4" t="s">
        <v>19</v>
      </c>
      <c r="F285" s="4" t="s">
        <v>1758</v>
      </c>
      <c r="G285" s="4" t="s">
        <v>1273</v>
      </c>
      <c r="H285" s="32"/>
    </row>
    <row r="286" spans="1:8">
      <c r="A286" s="31">
        <v>285</v>
      </c>
      <c r="B286" s="5" t="s">
        <v>878</v>
      </c>
      <c r="C286" s="4" t="s">
        <v>879</v>
      </c>
      <c r="D286" s="4" t="s">
        <v>17</v>
      </c>
      <c r="E286" s="4" t="s">
        <v>19</v>
      </c>
      <c r="F286" s="4" t="s">
        <v>1759</v>
      </c>
      <c r="G286" s="4" t="s">
        <v>1270</v>
      </c>
      <c r="H286" s="32"/>
    </row>
    <row r="287" spans="1:8">
      <c r="A287" s="31">
        <v>286</v>
      </c>
      <c r="B287" s="5" t="s">
        <v>880</v>
      </c>
      <c r="C287" s="4" t="s">
        <v>881</v>
      </c>
      <c r="D287" s="4" t="s">
        <v>882</v>
      </c>
      <c r="E287" s="4" t="s">
        <v>100</v>
      </c>
      <c r="F287" s="4" t="s">
        <v>1760</v>
      </c>
      <c r="G287" s="4" t="s">
        <v>1761</v>
      </c>
      <c r="H287" s="32" t="s">
        <v>1311</v>
      </c>
    </row>
    <row r="288" spans="1:8">
      <c r="A288" s="31">
        <v>287</v>
      </c>
      <c r="B288" s="5" t="s">
        <v>883</v>
      </c>
      <c r="C288" s="4" t="s">
        <v>884</v>
      </c>
      <c r="D288" s="4" t="s">
        <v>885</v>
      </c>
      <c r="E288" s="4" t="s">
        <v>19</v>
      </c>
      <c r="F288" s="4" t="s">
        <v>1762</v>
      </c>
      <c r="G288" s="4" t="s">
        <v>1552</v>
      </c>
      <c r="H288" s="32"/>
    </row>
    <row r="289" spans="1:8">
      <c r="A289" s="31">
        <v>288</v>
      </c>
      <c r="B289" s="5" t="s">
        <v>886</v>
      </c>
      <c r="C289" s="4" t="s">
        <v>887</v>
      </c>
      <c r="D289" s="4" t="s">
        <v>888</v>
      </c>
      <c r="E289" s="4" t="s">
        <v>19</v>
      </c>
      <c r="F289" s="4" t="s">
        <v>1763</v>
      </c>
      <c r="G289" s="4" t="s">
        <v>1764</v>
      </c>
      <c r="H289" s="32"/>
    </row>
    <row r="290" spans="1:8">
      <c r="A290" s="31">
        <v>289</v>
      </c>
      <c r="B290" s="5" t="s">
        <v>889</v>
      </c>
      <c r="C290" s="4" t="s">
        <v>890</v>
      </c>
      <c r="D290" s="4" t="s">
        <v>891</v>
      </c>
      <c r="E290" s="4" t="s">
        <v>892</v>
      </c>
      <c r="F290" s="4" t="s">
        <v>1765</v>
      </c>
      <c r="G290" s="4" t="s">
        <v>1766</v>
      </c>
      <c r="H290" s="32" t="s">
        <v>1767</v>
      </c>
    </row>
    <row r="291" spans="1:8">
      <c r="A291" s="31">
        <v>290</v>
      </c>
      <c r="B291" s="5" t="s">
        <v>895</v>
      </c>
      <c r="C291" s="4" t="s">
        <v>896</v>
      </c>
      <c r="D291" s="4" t="s">
        <v>897</v>
      </c>
      <c r="E291" s="4" t="s">
        <v>892</v>
      </c>
      <c r="F291" s="4" t="s">
        <v>1768</v>
      </c>
      <c r="G291" s="4" t="s">
        <v>1769</v>
      </c>
      <c r="H291" s="32" t="s">
        <v>1767</v>
      </c>
    </row>
    <row r="292" spans="1:8">
      <c r="A292" s="31">
        <v>291</v>
      </c>
      <c r="B292" s="5" t="s">
        <v>898</v>
      </c>
      <c r="C292" s="4" t="s">
        <v>899</v>
      </c>
      <c r="D292" s="4" t="s">
        <v>900</v>
      </c>
      <c r="E292" s="4" t="s">
        <v>19</v>
      </c>
      <c r="F292" s="4" t="s">
        <v>1770</v>
      </c>
      <c r="G292" s="4" t="s">
        <v>1771</v>
      </c>
      <c r="H292" s="32"/>
    </row>
    <row r="293" spans="1:8">
      <c r="A293" s="31">
        <v>292</v>
      </c>
      <c r="B293" s="5" t="s">
        <v>901</v>
      </c>
      <c r="C293" s="4" t="s">
        <v>902</v>
      </c>
      <c r="D293" s="4" t="s">
        <v>903</v>
      </c>
      <c r="E293" s="4" t="s">
        <v>19</v>
      </c>
      <c r="F293" s="4" t="s">
        <v>1772</v>
      </c>
      <c r="G293" s="4" t="s">
        <v>1773</v>
      </c>
      <c r="H293" s="32"/>
    </row>
    <row r="294" spans="1:8">
      <c r="A294" s="31">
        <v>293</v>
      </c>
      <c r="B294" s="5" t="s">
        <v>904</v>
      </c>
      <c r="C294" s="4" t="s">
        <v>905</v>
      </c>
      <c r="D294" s="4" t="s">
        <v>906</v>
      </c>
      <c r="E294" s="4" t="s">
        <v>19</v>
      </c>
      <c r="F294" s="4" t="s">
        <v>1774</v>
      </c>
      <c r="G294" s="4" t="s">
        <v>1775</v>
      </c>
      <c r="H294" s="32"/>
    </row>
    <row r="295" spans="1:8">
      <c r="A295" s="31">
        <v>294</v>
      </c>
      <c r="B295" s="5" t="s">
        <v>907</v>
      </c>
      <c r="C295" s="4" t="s">
        <v>908</v>
      </c>
      <c r="D295" s="4" t="s">
        <v>423</v>
      </c>
      <c r="E295" s="4" t="s">
        <v>19</v>
      </c>
      <c r="F295" s="4" t="s">
        <v>1776</v>
      </c>
      <c r="G295" s="4" t="s">
        <v>1494</v>
      </c>
      <c r="H295" s="32"/>
    </row>
    <row r="296" spans="1:8">
      <c r="A296" s="31">
        <v>295</v>
      </c>
      <c r="B296" s="5" t="s">
        <v>909</v>
      </c>
      <c r="C296" s="4" t="s">
        <v>910</v>
      </c>
      <c r="D296" s="4" t="s">
        <v>423</v>
      </c>
      <c r="E296" s="4" t="s">
        <v>19</v>
      </c>
      <c r="F296" s="4" t="s">
        <v>1777</v>
      </c>
      <c r="G296" s="4" t="s">
        <v>1494</v>
      </c>
      <c r="H296" s="32"/>
    </row>
    <row r="297" spans="1:8">
      <c r="A297" s="31">
        <v>296</v>
      </c>
      <c r="B297" s="5" t="s">
        <v>911</v>
      </c>
      <c r="C297" s="4" t="s">
        <v>912</v>
      </c>
      <c r="D297" s="4" t="s">
        <v>423</v>
      </c>
      <c r="E297" s="4" t="s">
        <v>19</v>
      </c>
      <c r="F297" s="4" t="s">
        <v>1778</v>
      </c>
      <c r="G297" s="4" t="s">
        <v>1494</v>
      </c>
      <c r="H297" s="32"/>
    </row>
    <row r="298" spans="1:8">
      <c r="A298" s="31">
        <v>297</v>
      </c>
      <c r="B298" s="5" t="s">
        <v>913</v>
      </c>
      <c r="C298" s="4" t="s">
        <v>914</v>
      </c>
      <c r="D298" s="4" t="s">
        <v>423</v>
      </c>
      <c r="E298" s="4" t="s">
        <v>19</v>
      </c>
      <c r="F298" s="4" t="s">
        <v>1779</v>
      </c>
      <c r="G298" s="4" t="s">
        <v>1494</v>
      </c>
      <c r="H298" s="32"/>
    </row>
    <row r="299" spans="1:8">
      <c r="A299" s="31">
        <v>298</v>
      </c>
      <c r="B299" s="5" t="s">
        <v>915</v>
      </c>
      <c r="C299" s="4" t="s">
        <v>916</v>
      </c>
      <c r="D299" s="4" t="s">
        <v>917</v>
      </c>
      <c r="E299" s="4" t="s">
        <v>33</v>
      </c>
      <c r="F299" s="4" t="s">
        <v>1780</v>
      </c>
      <c r="G299" s="4" t="s">
        <v>1781</v>
      </c>
      <c r="H299" s="32" t="s">
        <v>1275</v>
      </c>
    </row>
    <row r="300" spans="1:8">
      <c r="A300" s="31">
        <v>299</v>
      </c>
      <c r="B300" s="5" t="s">
        <v>918</v>
      </c>
      <c r="C300" s="4" t="s">
        <v>919</v>
      </c>
      <c r="D300" s="4" t="s">
        <v>920</v>
      </c>
      <c r="E300" s="4" t="s">
        <v>33</v>
      </c>
      <c r="F300" s="4" t="s">
        <v>1782</v>
      </c>
      <c r="G300" s="4" t="s">
        <v>1783</v>
      </c>
      <c r="H300" s="32" t="s">
        <v>1275</v>
      </c>
    </row>
    <row r="301" spans="1:8">
      <c r="A301" s="31">
        <v>300</v>
      </c>
      <c r="B301" s="5" t="s">
        <v>921</v>
      </c>
      <c r="C301" s="4" t="s">
        <v>922</v>
      </c>
      <c r="D301" s="4" t="s">
        <v>923</v>
      </c>
      <c r="E301" s="4" t="s">
        <v>19</v>
      </c>
      <c r="F301" s="4" t="s">
        <v>1784</v>
      </c>
      <c r="G301" s="4" t="s">
        <v>1785</v>
      </c>
      <c r="H301" s="32"/>
    </row>
    <row r="302" spans="1:8">
      <c r="A302" s="31">
        <v>301</v>
      </c>
      <c r="B302" s="5" t="s">
        <v>924</v>
      </c>
      <c r="C302" s="4" t="s">
        <v>925</v>
      </c>
      <c r="D302" s="4" t="s">
        <v>926</v>
      </c>
      <c r="E302" s="4" t="s">
        <v>33</v>
      </c>
      <c r="F302" s="4" t="s">
        <v>1786</v>
      </c>
      <c r="G302" s="4" t="s">
        <v>1787</v>
      </c>
      <c r="H302" s="32" t="s">
        <v>1275</v>
      </c>
    </row>
    <row r="303" spans="1:8">
      <c r="A303" s="31">
        <v>302</v>
      </c>
      <c r="B303" s="5" t="s">
        <v>927</v>
      </c>
      <c r="C303" s="4" t="s">
        <v>928</v>
      </c>
      <c r="D303" s="4" t="s">
        <v>423</v>
      </c>
      <c r="E303" s="4" t="s">
        <v>19</v>
      </c>
      <c r="F303" s="4" t="s">
        <v>1788</v>
      </c>
      <c r="G303" s="4" t="s">
        <v>1494</v>
      </c>
      <c r="H303" s="32"/>
    </row>
    <row r="304" spans="1:8">
      <c r="A304" s="31">
        <v>303</v>
      </c>
      <c r="B304" s="5" t="s">
        <v>929</v>
      </c>
      <c r="C304" s="4" t="s">
        <v>930</v>
      </c>
      <c r="D304" s="4" t="s">
        <v>423</v>
      </c>
      <c r="E304" s="4" t="s">
        <v>19</v>
      </c>
      <c r="F304" s="4" t="s">
        <v>1789</v>
      </c>
      <c r="G304" s="4" t="s">
        <v>1494</v>
      </c>
      <c r="H304" s="32"/>
    </row>
    <row r="305" spans="1:8">
      <c r="A305" s="31">
        <v>304</v>
      </c>
      <c r="B305" s="5" t="s">
        <v>931</v>
      </c>
      <c r="C305" s="4" t="s">
        <v>932</v>
      </c>
      <c r="D305" s="4" t="s">
        <v>423</v>
      </c>
      <c r="E305" s="4" t="s">
        <v>19</v>
      </c>
      <c r="F305" s="4" t="s">
        <v>1790</v>
      </c>
      <c r="G305" s="4" t="s">
        <v>1494</v>
      </c>
      <c r="H305" s="32"/>
    </row>
    <row r="306" spans="1:8">
      <c r="A306" s="31">
        <v>305</v>
      </c>
      <c r="B306" s="5" t="s">
        <v>933</v>
      </c>
      <c r="C306" s="4" t="s">
        <v>934</v>
      </c>
      <c r="D306" s="4" t="s">
        <v>935</v>
      </c>
      <c r="E306" s="4" t="s">
        <v>936</v>
      </c>
      <c r="F306" s="4" t="s">
        <v>1791</v>
      </c>
      <c r="G306" s="4" t="s">
        <v>1792</v>
      </c>
      <c r="H306" s="32" t="s">
        <v>1484</v>
      </c>
    </row>
    <row r="307" spans="1:8">
      <c r="A307" s="31">
        <v>306</v>
      </c>
      <c r="B307" s="5" t="s">
        <v>939</v>
      </c>
      <c r="C307" s="4" t="s">
        <v>940</v>
      </c>
      <c r="D307" s="4" t="s">
        <v>941</v>
      </c>
      <c r="E307" s="4" t="s">
        <v>19</v>
      </c>
      <c r="F307" s="4" t="s">
        <v>1793</v>
      </c>
      <c r="G307" s="4" t="s">
        <v>1794</v>
      </c>
      <c r="H307" s="32"/>
    </row>
    <row r="308" spans="1:8">
      <c r="A308" s="31">
        <v>307</v>
      </c>
      <c r="B308" s="5" t="s">
        <v>942</v>
      </c>
      <c r="C308" s="4" t="s">
        <v>943</v>
      </c>
      <c r="D308" s="4" t="s">
        <v>423</v>
      </c>
      <c r="E308" s="4" t="s">
        <v>19</v>
      </c>
      <c r="F308" s="4" t="s">
        <v>1795</v>
      </c>
      <c r="G308" s="4" t="s">
        <v>1494</v>
      </c>
      <c r="H308" s="32"/>
    </row>
    <row r="309" spans="1:8">
      <c r="A309" s="31">
        <v>308</v>
      </c>
      <c r="B309" s="5" t="s">
        <v>944</v>
      </c>
      <c r="C309" s="4" t="s">
        <v>945</v>
      </c>
      <c r="D309" s="4" t="s">
        <v>423</v>
      </c>
      <c r="E309" s="4" t="s">
        <v>19</v>
      </c>
      <c r="F309" s="4" t="s">
        <v>1796</v>
      </c>
      <c r="G309" s="4" t="s">
        <v>1494</v>
      </c>
      <c r="H309" s="32"/>
    </row>
    <row r="310" spans="1:8">
      <c r="A310" s="31">
        <v>309</v>
      </c>
      <c r="B310" s="5" t="s">
        <v>946</v>
      </c>
      <c r="C310" s="4" t="s">
        <v>947</v>
      </c>
      <c r="D310" s="4" t="s">
        <v>423</v>
      </c>
      <c r="E310" s="4" t="s">
        <v>19</v>
      </c>
      <c r="F310" s="4" t="s">
        <v>1797</v>
      </c>
      <c r="G310" s="4" t="s">
        <v>1494</v>
      </c>
      <c r="H310" s="32"/>
    </row>
    <row r="311" spans="1:8">
      <c r="A311" s="31">
        <v>310</v>
      </c>
      <c r="B311" s="5" t="s">
        <v>948</v>
      </c>
      <c r="C311" s="4" t="s">
        <v>949</v>
      </c>
      <c r="D311" s="4" t="s">
        <v>950</v>
      </c>
      <c r="E311" s="4" t="s">
        <v>423</v>
      </c>
      <c r="F311" s="4" t="s">
        <v>1798</v>
      </c>
      <c r="G311" s="4" t="s">
        <v>1799</v>
      </c>
      <c r="H311" s="32" t="s">
        <v>1494</v>
      </c>
    </row>
    <row r="312" spans="1:8">
      <c r="A312" s="31">
        <v>311</v>
      </c>
      <c r="B312" s="5" t="s">
        <v>951</v>
      </c>
      <c r="C312" s="4" t="s">
        <v>952</v>
      </c>
      <c r="D312" s="4" t="s">
        <v>953</v>
      </c>
      <c r="E312" s="4" t="s">
        <v>97</v>
      </c>
      <c r="F312" s="4" t="s">
        <v>1800</v>
      </c>
      <c r="G312" s="4" t="s">
        <v>1801</v>
      </c>
      <c r="H312" s="32" t="s">
        <v>1309</v>
      </c>
    </row>
    <row r="313" spans="1:8">
      <c r="A313" s="31">
        <v>312</v>
      </c>
      <c r="B313" s="5" t="s">
        <v>954</v>
      </c>
      <c r="C313" s="4" t="s">
        <v>955</v>
      </c>
      <c r="D313" s="4" t="s">
        <v>956</v>
      </c>
      <c r="E313" s="4" t="s">
        <v>97</v>
      </c>
      <c r="F313" s="4" t="s">
        <v>1802</v>
      </c>
      <c r="G313" s="4" t="s">
        <v>1803</v>
      </c>
      <c r="H313" s="32" t="s">
        <v>1309</v>
      </c>
    </row>
    <row r="314" spans="1:8">
      <c r="A314" s="31">
        <v>313</v>
      </c>
      <c r="B314" s="5" t="s">
        <v>957</v>
      </c>
      <c r="C314" s="4" t="s">
        <v>958</v>
      </c>
      <c r="D314" s="4" t="s">
        <v>959</v>
      </c>
      <c r="E314" s="4" t="s">
        <v>97</v>
      </c>
      <c r="F314" s="4" t="s">
        <v>1804</v>
      </c>
      <c r="G314" s="4" t="s">
        <v>1309</v>
      </c>
      <c r="H314" s="32" t="s">
        <v>1309</v>
      </c>
    </row>
    <row r="315" spans="1:8">
      <c r="A315" s="31">
        <v>314</v>
      </c>
      <c r="B315" s="5" t="s">
        <v>960</v>
      </c>
      <c r="C315" s="4" t="s">
        <v>961</v>
      </c>
      <c r="D315" s="4" t="s">
        <v>962</v>
      </c>
      <c r="E315" s="4" t="s">
        <v>97</v>
      </c>
      <c r="F315" s="4" t="s">
        <v>1805</v>
      </c>
      <c r="G315" s="4" t="s">
        <v>1344</v>
      </c>
      <c r="H315" s="32" t="s">
        <v>1309</v>
      </c>
    </row>
    <row r="316" spans="1:8">
      <c r="A316" s="31">
        <v>315</v>
      </c>
      <c r="B316" s="5" t="s">
        <v>963</v>
      </c>
      <c r="C316" s="4" t="s">
        <v>964</v>
      </c>
      <c r="D316" s="4" t="s">
        <v>965</v>
      </c>
      <c r="E316" s="4" t="s">
        <v>19</v>
      </c>
      <c r="F316" s="4" t="s">
        <v>1806</v>
      </c>
      <c r="G316" s="4" t="s">
        <v>1807</v>
      </c>
      <c r="H316" s="32"/>
    </row>
    <row r="317" spans="1:8">
      <c r="A317" s="31">
        <v>316</v>
      </c>
      <c r="B317" s="5" t="s">
        <v>966</v>
      </c>
      <c r="C317" s="4" t="s">
        <v>967</v>
      </c>
      <c r="D317" s="4" t="s">
        <v>968</v>
      </c>
      <c r="E317" s="4" t="s">
        <v>78</v>
      </c>
      <c r="F317" s="4" t="s">
        <v>1808</v>
      </c>
      <c r="G317" s="4" t="s">
        <v>1494</v>
      </c>
      <c r="H317" s="32" t="s">
        <v>1299</v>
      </c>
    </row>
    <row r="318" spans="1:8">
      <c r="A318" s="31">
        <v>317</v>
      </c>
      <c r="B318" s="5" t="s">
        <v>969</v>
      </c>
      <c r="C318" s="4" t="s">
        <v>970</v>
      </c>
      <c r="D318" s="4" t="s">
        <v>423</v>
      </c>
      <c r="E318" s="4" t="s">
        <v>19</v>
      </c>
      <c r="F318" s="4" t="s">
        <v>1809</v>
      </c>
      <c r="G318" s="4" t="s">
        <v>1494</v>
      </c>
      <c r="H318" s="32"/>
    </row>
    <row r="319" spans="1:8">
      <c r="A319" s="31">
        <v>318</v>
      </c>
      <c r="B319" s="5" t="s">
        <v>971</v>
      </c>
      <c r="C319" s="4" t="s">
        <v>972</v>
      </c>
      <c r="D319" s="4" t="s">
        <v>423</v>
      </c>
      <c r="E319" s="4" t="s">
        <v>19</v>
      </c>
      <c r="F319" s="4" t="s">
        <v>1810</v>
      </c>
      <c r="G319" s="4" t="s">
        <v>1494</v>
      </c>
      <c r="H319" s="32"/>
    </row>
    <row r="320" spans="1:8">
      <c r="A320" s="31">
        <v>319</v>
      </c>
      <c r="B320" s="5" t="s">
        <v>973</v>
      </c>
      <c r="C320" s="4" t="s">
        <v>974</v>
      </c>
      <c r="D320" s="4" t="s">
        <v>423</v>
      </c>
      <c r="E320" s="4" t="s">
        <v>19</v>
      </c>
      <c r="F320" s="4" t="s">
        <v>1811</v>
      </c>
      <c r="G320" s="4" t="s">
        <v>1494</v>
      </c>
      <c r="H320" s="32"/>
    </row>
    <row r="321" spans="1:8">
      <c r="A321" s="31">
        <v>320</v>
      </c>
      <c r="B321" s="5" t="s">
        <v>975</v>
      </c>
      <c r="C321" s="4" t="s">
        <v>976</v>
      </c>
      <c r="D321" s="4" t="s">
        <v>977</v>
      </c>
      <c r="E321" s="4" t="s">
        <v>423</v>
      </c>
      <c r="F321" s="4" t="s">
        <v>1812</v>
      </c>
      <c r="G321" s="4" t="s">
        <v>1813</v>
      </c>
      <c r="H321" s="32" t="s">
        <v>1494</v>
      </c>
    </row>
    <row r="322" spans="1:8">
      <c r="A322" s="31">
        <v>321</v>
      </c>
      <c r="B322" s="5" t="s">
        <v>978</v>
      </c>
      <c r="C322" s="4" t="s">
        <v>979</v>
      </c>
      <c r="D322" s="4" t="s">
        <v>980</v>
      </c>
      <c r="E322" s="4" t="s">
        <v>423</v>
      </c>
      <c r="F322" s="4" t="s">
        <v>1814</v>
      </c>
      <c r="G322" s="4" t="s">
        <v>1815</v>
      </c>
      <c r="H322" s="32" t="s">
        <v>1494</v>
      </c>
    </row>
    <row r="323" spans="1:8">
      <c r="A323" s="31">
        <v>322</v>
      </c>
      <c r="B323" s="5" t="s">
        <v>981</v>
      </c>
      <c r="C323" s="4" t="s">
        <v>982</v>
      </c>
      <c r="D323" s="4" t="s">
        <v>423</v>
      </c>
      <c r="E323" s="4" t="s">
        <v>19</v>
      </c>
      <c r="F323" s="4" t="s">
        <v>1816</v>
      </c>
      <c r="G323" s="4" t="s">
        <v>1494</v>
      </c>
      <c r="H323" s="32"/>
    </row>
    <row r="324" spans="1:8">
      <c r="A324" s="31">
        <v>323</v>
      </c>
      <c r="B324" s="5" t="s">
        <v>983</v>
      </c>
      <c r="C324" s="4" t="s">
        <v>984</v>
      </c>
      <c r="D324" s="4" t="s">
        <v>423</v>
      </c>
      <c r="E324" s="4" t="s">
        <v>19</v>
      </c>
      <c r="F324" s="4" t="s">
        <v>1817</v>
      </c>
      <c r="G324" s="4" t="s">
        <v>1494</v>
      </c>
      <c r="H324" s="32"/>
    </row>
    <row r="325" spans="1:8">
      <c r="A325" s="31">
        <v>324</v>
      </c>
      <c r="B325" s="5" t="s">
        <v>985</v>
      </c>
      <c r="C325" s="4" t="s">
        <v>986</v>
      </c>
      <c r="D325" s="4" t="s">
        <v>987</v>
      </c>
      <c r="E325" s="4" t="s">
        <v>423</v>
      </c>
      <c r="F325" s="4" t="s">
        <v>1818</v>
      </c>
      <c r="G325" s="4" t="s">
        <v>1819</v>
      </c>
      <c r="H325" s="32" t="s">
        <v>1494</v>
      </c>
    </row>
    <row r="326" spans="1:8">
      <c r="A326" s="31">
        <v>325</v>
      </c>
      <c r="B326" s="5" t="s">
        <v>988</v>
      </c>
      <c r="C326" s="4" t="s">
        <v>989</v>
      </c>
      <c r="D326" s="4" t="s">
        <v>97</v>
      </c>
      <c r="E326" s="4" t="s">
        <v>19</v>
      </c>
      <c r="F326" s="4" t="s">
        <v>1820</v>
      </c>
      <c r="G326" s="4" t="s">
        <v>1309</v>
      </c>
      <c r="H326" s="32"/>
    </row>
    <row r="327" spans="1:8">
      <c r="A327" s="31">
        <v>326</v>
      </c>
      <c r="B327" s="5" t="s">
        <v>990</v>
      </c>
      <c r="C327" s="4" t="s">
        <v>991</v>
      </c>
      <c r="D327" s="4" t="s">
        <v>97</v>
      </c>
      <c r="E327" s="4" t="s">
        <v>19</v>
      </c>
      <c r="F327" s="4" t="s">
        <v>1821</v>
      </c>
      <c r="G327" s="4" t="s">
        <v>1309</v>
      </c>
      <c r="H327" s="32"/>
    </row>
    <row r="328" spans="1:8">
      <c r="A328" s="31">
        <v>327</v>
      </c>
      <c r="B328" s="5" t="s">
        <v>992</v>
      </c>
      <c r="C328" s="4" t="s">
        <v>993</v>
      </c>
      <c r="D328" s="4" t="s">
        <v>994</v>
      </c>
      <c r="E328" s="4" t="s">
        <v>19</v>
      </c>
      <c r="F328" s="4" t="s">
        <v>1822</v>
      </c>
      <c r="G328" s="4" t="s">
        <v>1823</v>
      </c>
      <c r="H328" s="32"/>
    </row>
    <row r="329" spans="1:8">
      <c r="A329" s="31">
        <v>328</v>
      </c>
      <c r="B329" s="5" t="s">
        <v>995</v>
      </c>
      <c r="C329" s="4" t="s">
        <v>996</v>
      </c>
      <c r="D329" s="4" t="s">
        <v>997</v>
      </c>
      <c r="E329" s="4" t="s">
        <v>19</v>
      </c>
      <c r="F329" s="4" t="s">
        <v>1824</v>
      </c>
      <c r="G329" s="4" t="s">
        <v>1825</v>
      </c>
      <c r="H329" s="32"/>
    </row>
    <row r="330" spans="1:8">
      <c r="A330" s="31">
        <v>329</v>
      </c>
      <c r="B330" s="5" t="s">
        <v>998</v>
      </c>
      <c r="C330" s="4" t="s">
        <v>999</v>
      </c>
      <c r="D330" s="4" t="s">
        <v>1000</v>
      </c>
      <c r="E330" s="4" t="s">
        <v>1001</v>
      </c>
      <c r="F330" s="4" t="s">
        <v>1826</v>
      </c>
      <c r="G330" s="4" t="s">
        <v>1827</v>
      </c>
      <c r="H330" s="32" t="s">
        <v>1828</v>
      </c>
    </row>
    <row r="331" spans="1:8">
      <c r="A331" s="31">
        <v>330</v>
      </c>
      <c r="B331" s="5" t="s">
        <v>1004</v>
      </c>
      <c r="C331" s="4" t="s">
        <v>1005</v>
      </c>
      <c r="D331" s="4" t="s">
        <v>1006</v>
      </c>
      <c r="E331" s="4" t="s">
        <v>936</v>
      </c>
      <c r="F331" s="4" t="s">
        <v>1829</v>
      </c>
      <c r="G331" s="4" t="s">
        <v>1830</v>
      </c>
      <c r="H331" s="32" t="s">
        <v>1484</v>
      </c>
    </row>
    <row r="332" spans="1:8">
      <c r="A332" s="31">
        <v>331</v>
      </c>
      <c r="B332" s="5" t="s">
        <v>1007</v>
      </c>
      <c r="C332" s="4" t="s">
        <v>1008</v>
      </c>
      <c r="D332" s="4" t="s">
        <v>1009</v>
      </c>
      <c r="E332" s="4" t="s">
        <v>19</v>
      </c>
      <c r="F332" s="4" t="s">
        <v>1831</v>
      </c>
      <c r="G332" s="4" t="s">
        <v>1832</v>
      </c>
      <c r="H332" s="32"/>
    </row>
    <row r="333" spans="1:8">
      <c r="A333" s="31">
        <v>332</v>
      </c>
      <c r="B333" s="5" t="s">
        <v>1010</v>
      </c>
      <c r="C333" s="4" t="s">
        <v>1011</v>
      </c>
      <c r="D333" s="4" t="s">
        <v>1012</v>
      </c>
      <c r="E333" s="4" t="s">
        <v>487</v>
      </c>
      <c r="F333" s="4" t="s">
        <v>1833</v>
      </c>
      <c r="G333" s="4" t="s">
        <v>1834</v>
      </c>
      <c r="H333" s="32" t="s">
        <v>1532</v>
      </c>
    </row>
    <row r="334" spans="1:8">
      <c r="A334" s="31">
        <v>333</v>
      </c>
      <c r="B334" s="5" t="s">
        <v>1013</v>
      </c>
      <c r="C334" s="4" t="s">
        <v>1014</v>
      </c>
      <c r="D334" s="4" t="s">
        <v>1015</v>
      </c>
      <c r="E334" s="4" t="s">
        <v>19</v>
      </c>
      <c r="F334" s="4" t="s">
        <v>1835</v>
      </c>
      <c r="G334" s="4" t="s">
        <v>1299</v>
      </c>
      <c r="H334" s="32"/>
    </row>
    <row r="335" spans="1:8">
      <c r="A335" s="31">
        <v>334</v>
      </c>
      <c r="B335" s="5" t="s">
        <v>1016</v>
      </c>
      <c r="C335" s="4" t="s">
        <v>1017</v>
      </c>
      <c r="D335" s="4" t="s">
        <v>1018</v>
      </c>
      <c r="E335" s="4" t="s">
        <v>130</v>
      </c>
      <c r="F335" s="4" t="s">
        <v>1836</v>
      </c>
      <c r="G335" s="4" t="s">
        <v>1837</v>
      </c>
      <c r="H335" s="32" t="s">
        <v>1326</v>
      </c>
    </row>
    <row r="336" spans="1:8">
      <c r="A336" s="31">
        <v>335</v>
      </c>
      <c r="B336" s="5" t="s">
        <v>1019</v>
      </c>
      <c r="C336" s="4" t="s">
        <v>1020</v>
      </c>
      <c r="D336" s="4" t="s">
        <v>1021</v>
      </c>
      <c r="E336" s="4" t="s">
        <v>840</v>
      </c>
      <c r="F336" s="4" t="s">
        <v>1838</v>
      </c>
      <c r="G336" s="4" t="s">
        <v>1767</v>
      </c>
      <c r="H336" s="32" t="s">
        <v>1738</v>
      </c>
    </row>
    <row r="337" spans="1:8">
      <c r="A337" s="31">
        <v>336</v>
      </c>
      <c r="B337" s="5" t="s">
        <v>1022</v>
      </c>
      <c r="C337" s="4" t="s">
        <v>1023</v>
      </c>
      <c r="D337" s="4" t="s">
        <v>1024</v>
      </c>
      <c r="E337" s="4" t="s">
        <v>19</v>
      </c>
      <c r="F337" s="4" t="s">
        <v>1839</v>
      </c>
      <c r="G337" s="4" t="s">
        <v>1840</v>
      </c>
      <c r="H337" s="32"/>
    </row>
    <row r="338" spans="1:8">
      <c r="A338" s="31">
        <v>337</v>
      </c>
      <c r="B338" s="5" t="s">
        <v>1025</v>
      </c>
      <c r="C338" s="4" t="s">
        <v>1026</v>
      </c>
      <c r="D338" s="4" t="s">
        <v>1027</v>
      </c>
      <c r="E338" s="4" t="s">
        <v>19</v>
      </c>
      <c r="F338" s="4" t="s">
        <v>1841</v>
      </c>
      <c r="G338" s="4" t="s">
        <v>1842</v>
      </c>
      <c r="H338" s="32"/>
    </row>
    <row r="339" spans="1:8">
      <c r="A339" s="31">
        <v>338</v>
      </c>
      <c r="B339" s="5" t="s">
        <v>1028</v>
      </c>
      <c r="C339" s="4" t="s">
        <v>1029</v>
      </c>
      <c r="D339" s="4" t="s">
        <v>1030</v>
      </c>
      <c r="E339" s="4" t="s">
        <v>19</v>
      </c>
      <c r="F339" s="4" t="s">
        <v>1843</v>
      </c>
      <c r="G339" s="4" t="s">
        <v>1844</v>
      </c>
      <c r="H339" s="32"/>
    </row>
    <row r="340" spans="1:8">
      <c r="A340" s="31">
        <v>339</v>
      </c>
      <c r="B340" s="5" t="s">
        <v>1031</v>
      </c>
      <c r="C340" s="4" t="s">
        <v>1032</v>
      </c>
      <c r="D340" s="4" t="s">
        <v>1033</v>
      </c>
      <c r="E340" s="4" t="s">
        <v>19</v>
      </c>
      <c r="F340" s="4" t="s">
        <v>1845</v>
      </c>
      <c r="G340" s="4" t="s">
        <v>1846</v>
      </c>
      <c r="H340" s="32"/>
    </row>
    <row r="341" spans="1:8">
      <c r="A341" s="31">
        <v>340</v>
      </c>
      <c r="B341" s="5" t="s">
        <v>1034</v>
      </c>
      <c r="C341" s="4" t="s">
        <v>1035</v>
      </c>
      <c r="D341" s="4" t="s">
        <v>1036</v>
      </c>
      <c r="E341" s="4" t="s">
        <v>19</v>
      </c>
      <c r="F341" s="4" t="s">
        <v>1847</v>
      </c>
      <c r="G341" s="4" t="s">
        <v>1848</v>
      </c>
      <c r="H341" s="32"/>
    </row>
    <row r="342" spans="1:8">
      <c r="A342" s="31">
        <v>341</v>
      </c>
      <c r="B342" s="5" t="s">
        <v>1037</v>
      </c>
      <c r="C342" s="4" t="s">
        <v>1038</v>
      </c>
      <c r="D342" s="4" t="s">
        <v>1039</v>
      </c>
      <c r="E342" s="4" t="s">
        <v>19</v>
      </c>
      <c r="F342" s="4" t="s">
        <v>1849</v>
      </c>
      <c r="G342" s="4" t="s">
        <v>1850</v>
      </c>
      <c r="H342" s="32"/>
    </row>
    <row r="343" spans="1:8">
      <c r="A343" s="31">
        <v>342</v>
      </c>
      <c r="B343" s="5" t="s">
        <v>1040</v>
      </c>
      <c r="C343" s="4" t="s">
        <v>1041</v>
      </c>
      <c r="D343" s="4" t="s">
        <v>1042</v>
      </c>
      <c r="E343" s="4" t="s">
        <v>33</v>
      </c>
      <c r="F343" s="4" t="s">
        <v>1851</v>
      </c>
      <c r="G343" s="4" t="s">
        <v>1852</v>
      </c>
      <c r="H343" s="32" t="s">
        <v>1275</v>
      </c>
    </row>
    <row r="344" spans="1:8">
      <c r="A344" s="31">
        <v>343</v>
      </c>
      <c r="B344" s="5" t="s">
        <v>1043</v>
      </c>
      <c r="C344" s="4" t="s">
        <v>1044</v>
      </c>
      <c r="D344" s="4" t="s">
        <v>1045</v>
      </c>
      <c r="E344" s="4" t="s">
        <v>33</v>
      </c>
      <c r="F344" s="4" t="s">
        <v>1853</v>
      </c>
      <c r="G344" s="4" t="s">
        <v>1854</v>
      </c>
      <c r="H344" s="32" t="s">
        <v>1275</v>
      </c>
    </row>
    <row r="345" spans="1:8">
      <c r="A345" s="31">
        <v>344</v>
      </c>
      <c r="B345" s="5" t="s">
        <v>1046</v>
      </c>
      <c r="C345" s="4" t="s">
        <v>1047</v>
      </c>
      <c r="D345" s="4" t="s">
        <v>33</v>
      </c>
      <c r="E345" s="4" t="s">
        <v>19</v>
      </c>
      <c r="F345" s="4" t="s">
        <v>1855</v>
      </c>
      <c r="G345" s="4" t="s">
        <v>1275</v>
      </c>
      <c r="H345" s="32"/>
    </row>
    <row r="346" spans="1:8">
      <c r="A346" s="31">
        <v>345</v>
      </c>
      <c r="B346" s="5" t="s">
        <v>1048</v>
      </c>
      <c r="C346" s="4" t="s">
        <v>1049</v>
      </c>
      <c r="D346" s="4" t="s">
        <v>1050</v>
      </c>
      <c r="E346" s="4" t="s">
        <v>892</v>
      </c>
      <c r="F346" s="4" t="s">
        <v>1856</v>
      </c>
      <c r="G346" s="4" t="s">
        <v>1857</v>
      </c>
      <c r="H346" s="32" t="s">
        <v>1767</v>
      </c>
    </row>
    <row r="347" spans="1:8">
      <c r="A347" s="31">
        <v>346</v>
      </c>
      <c r="B347" s="5" t="s">
        <v>1051</v>
      </c>
      <c r="C347" s="4" t="s">
        <v>1052</v>
      </c>
      <c r="D347" s="4" t="s">
        <v>1053</v>
      </c>
      <c r="E347" s="4" t="s">
        <v>892</v>
      </c>
      <c r="F347" s="4" t="s">
        <v>1858</v>
      </c>
      <c r="G347" s="4" t="s">
        <v>1859</v>
      </c>
      <c r="H347" s="32" t="s">
        <v>1767</v>
      </c>
    </row>
    <row r="348" spans="1:8">
      <c r="A348" s="31">
        <v>347</v>
      </c>
      <c r="B348" s="5" t="s">
        <v>1054</v>
      </c>
      <c r="C348" s="4" t="s">
        <v>1055</v>
      </c>
      <c r="D348" s="4" t="s">
        <v>1056</v>
      </c>
      <c r="E348" s="4" t="s">
        <v>267</v>
      </c>
      <c r="F348" s="4" t="s">
        <v>1860</v>
      </c>
      <c r="G348" s="4" t="s">
        <v>1861</v>
      </c>
      <c r="H348" s="32" t="s">
        <v>1347</v>
      </c>
    </row>
    <row r="349" spans="1:8">
      <c r="A349" s="31">
        <v>348</v>
      </c>
      <c r="B349" s="5" t="s">
        <v>1057</v>
      </c>
      <c r="C349" s="4" t="s">
        <v>1058</v>
      </c>
      <c r="D349" s="4" t="s">
        <v>1059</v>
      </c>
      <c r="E349" s="4" t="s">
        <v>267</v>
      </c>
      <c r="F349" s="4" t="s">
        <v>1862</v>
      </c>
      <c r="G349" s="4" t="s">
        <v>1863</v>
      </c>
      <c r="H349" s="32" t="s">
        <v>1347</v>
      </c>
    </row>
    <row r="350" spans="1:8">
      <c r="A350" s="31">
        <v>349</v>
      </c>
      <c r="B350" s="5" t="s">
        <v>1060</v>
      </c>
      <c r="C350" s="4" t="s">
        <v>1061</v>
      </c>
      <c r="D350" s="4" t="s">
        <v>1062</v>
      </c>
      <c r="E350" s="4" t="s">
        <v>253</v>
      </c>
      <c r="F350" s="4" t="s">
        <v>1864</v>
      </c>
      <c r="G350" s="4" t="s">
        <v>1865</v>
      </c>
      <c r="H350" s="32" t="s">
        <v>1392</v>
      </c>
    </row>
    <row r="351" spans="1:8">
      <c r="A351" s="31">
        <v>350</v>
      </c>
      <c r="B351" s="5" t="s">
        <v>1063</v>
      </c>
      <c r="C351" s="4" t="s">
        <v>1064</v>
      </c>
      <c r="D351" s="4" t="s">
        <v>1065</v>
      </c>
      <c r="E351" s="4" t="s">
        <v>19</v>
      </c>
      <c r="F351" s="4" t="s">
        <v>1866</v>
      </c>
      <c r="G351" s="4" t="s">
        <v>1867</v>
      </c>
      <c r="H351" s="32"/>
    </row>
    <row r="352" spans="1:8">
      <c r="A352" s="31">
        <v>351</v>
      </c>
      <c r="B352" s="5" t="s">
        <v>1066</v>
      </c>
      <c r="C352" s="4" t="s">
        <v>1067</v>
      </c>
      <c r="D352" s="4" t="s">
        <v>1068</v>
      </c>
      <c r="E352" s="4" t="s">
        <v>19</v>
      </c>
      <c r="F352" s="4" t="s">
        <v>1868</v>
      </c>
      <c r="G352" s="4" t="s">
        <v>1444</v>
      </c>
      <c r="H352" s="32"/>
    </row>
    <row r="353" spans="1:8">
      <c r="A353" s="31">
        <v>352</v>
      </c>
      <c r="B353" s="5" t="s">
        <v>1069</v>
      </c>
      <c r="C353" s="4" t="s">
        <v>1070</v>
      </c>
      <c r="D353" s="4" t="s">
        <v>1071</v>
      </c>
      <c r="E353" s="4" t="s">
        <v>267</v>
      </c>
      <c r="F353" s="4" t="s">
        <v>1869</v>
      </c>
      <c r="G353" s="4" t="s">
        <v>1738</v>
      </c>
      <c r="H353" s="32" t="s">
        <v>1347</v>
      </c>
    </row>
    <row r="354" spans="1:8">
      <c r="A354" s="31">
        <v>353</v>
      </c>
      <c r="B354" s="5" t="s">
        <v>1072</v>
      </c>
      <c r="C354" s="4" t="s">
        <v>1073</v>
      </c>
      <c r="D354" s="4" t="s">
        <v>1074</v>
      </c>
      <c r="E354" s="4" t="s">
        <v>19</v>
      </c>
      <c r="F354" s="4" t="s">
        <v>1870</v>
      </c>
      <c r="G354" s="4" t="s">
        <v>1871</v>
      </c>
      <c r="H354" s="32"/>
    </row>
    <row r="355" spans="1:8">
      <c r="A355" s="31">
        <v>354</v>
      </c>
      <c r="B355" s="5" t="s">
        <v>1075</v>
      </c>
      <c r="C355" s="4" t="s">
        <v>1076</v>
      </c>
      <c r="D355" s="4" t="s">
        <v>1077</v>
      </c>
      <c r="E355" s="4" t="s">
        <v>19</v>
      </c>
      <c r="F355" s="4" t="s">
        <v>1872</v>
      </c>
      <c r="G355" s="4" t="s">
        <v>1873</v>
      </c>
      <c r="H355" s="32"/>
    </row>
    <row r="356" spans="1:8">
      <c r="A356" s="31">
        <v>355</v>
      </c>
      <c r="B356" s="5" t="s">
        <v>1078</v>
      </c>
      <c r="C356" s="4" t="s">
        <v>1079</v>
      </c>
      <c r="D356" s="4" t="s">
        <v>1080</v>
      </c>
      <c r="E356" s="4" t="s">
        <v>19</v>
      </c>
      <c r="F356" s="4" t="s">
        <v>1874</v>
      </c>
      <c r="G356" s="4" t="s">
        <v>1875</v>
      </c>
      <c r="H356" s="32"/>
    </row>
    <row r="357" spans="1:8">
      <c r="A357" s="31">
        <v>356</v>
      </c>
      <c r="B357" s="5" t="s">
        <v>1081</v>
      </c>
      <c r="C357" s="4" t="s">
        <v>1082</v>
      </c>
      <c r="D357" s="4" t="s">
        <v>1083</v>
      </c>
      <c r="E357" s="4" t="s">
        <v>19</v>
      </c>
      <c r="F357" s="4" t="s">
        <v>1876</v>
      </c>
      <c r="G357" s="4" t="s">
        <v>1877</v>
      </c>
      <c r="H357" s="32"/>
    </row>
    <row r="358" spans="1:8">
      <c r="A358" s="31">
        <v>357</v>
      </c>
      <c r="B358" s="5" t="s">
        <v>1084</v>
      </c>
      <c r="C358" s="4" t="s">
        <v>1085</v>
      </c>
      <c r="D358" s="4" t="s">
        <v>1086</v>
      </c>
      <c r="E358" s="4" t="s">
        <v>19</v>
      </c>
      <c r="F358" s="4" t="s">
        <v>1878</v>
      </c>
      <c r="G358" s="4" t="s">
        <v>1879</v>
      </c>
      <c r="H358" s="32"/>
    </row>
    <row r="359" spans="1:8">
      <c r="A359" s="31">
        <v>358</v>
      </c>
      <c r="B359" s="5" t="s">
        <v>1087</v>
      </c>
      <c r="C359" s="4" t="s">
        <v>1088</v>
      </c>
      <c r="D359" s="4" t="s">
        <v>1089</v>
      </c>
      <c r="E359" s="4" t="s">
        <v>19</v>
      </c>
      <c r="F359" s="4" t="s">
        <v>1880</v>
      </c>
      <c r="G359" s="4" t="s">
        <v>1881</v>
      </c>
      <c r="H359" s="32"/>
    </row>
    <row r="360" spans="1:8">
      <c r="A360" s="31">
        <v>359</v>
      </c>
      <c r="B360" s="5" t="s">
        <v>1090</v>
      </c>
      <c r="C360" s="4" t="s">
        <v>1091</v>
      </c>
      <c r="D360" s="4" t="s">
        <v>1092</v>
      </c>
      <c r="E360" s="4" t="s">
        <v>19</v>
      </c>
      <c r="F360" s="4" t="s">
        <v>1882</v>
      </c>
      <c r="G360" s="4" t="s">
        <v>1326</v>
      </c>
      <c r="H360" s="32"/>
    </row>
    <row r="361" spans="1:8">
      <c r="A361" s="31">
        <v>360</v>
      </c>
      <c r="B361" s="5" t="s">
        <v>1093</v>
      </c>
      <c r="C361" s="4" t="s">
        <v>1094</v>
      </c>
      <c r="D361" s="4" t="s">
        <v>1095</v>
      </c>
      <c r="E361" s="4" t="s">
        <v>130</v>
      </c>
      <c r="F361" s="4" t="s">
        <v>1883</v>
      </c>
      <c r="G361" s="4" t="s">
        <v>1884</v>
      </c>
      <c r="H361" s="32" t="s">
        <v>1326</v>
      </c>
    </row>
    <row r="362" spans="1:8">
      <c r="A362" s="31">
        <v>361</v>
      </c>
      <c r="B362" s="5" t="s">
        <v>1096</v>
      </c>
      <c r="C362" s="4" t="s">
        <v>1097</v>
      </c>
      <c r="D362" s="4" t="s">
        <v>1098</v>
      </c>
      <c r="E362" s="4" t="s">
        <v>19</v>
      </c>
      <c r="F362" s="4" t="s">
        <v>1885</v>
      </c>
      <c r="G362" s="4" t="s">
        <v>1886</v>
      </c>
      <c r="H362" s="32"/>
    </row>
    <row r="363" spans="1:8">
      <c r="A363" s="31">
        <v>362</v>
      </c>
      <c r="B363" s="5" t="s">
        <v>1099</v>
      </c>
      <c r="C363" s="4" t="s">
        <v>1100</v>
      </c>
      <c r="D363" s="4" t="s">
        <v>1101</v>
      </c>
      <c r="E363" s="4" t="s">
        <v>1001</v>
      </c>
      <c r="F363" s="4" t="s">
        <v>1887</v>
      </c>
      <c r="G363" s="4" t="s">
        <v>1828</v>
      </c>
      <c r="H363" s="32" t="s">
        <v>1828</v>
      </c>
    </row>
    <row r="364" spans="1:8">
      <c r="A364" s="31">
        <v>363</v>
      </c>
      <c r="B364" s="5" t="s">
        <v>1102</v>
      </c>
      <c r="C364" s="4" t="s">
        <v>1103</v>
      </c>
      <c r="D364" s="4" t="s">
        <v>1104</v>
      </c>
      <c r="E364" s="4" t="s">
        <v>1001</v>
      </c>
      <c r="F364" s="4" t="s">
        <v>1888</v>
      </c>
      <c r="G364" s="4" t="s">
        <v>1889</v>
      </c>
      <c r="H364" s="32" t="s">
        <v>1828</v>
      </c>
    </row>
    <row r="365" spans="1:8">
      <c r="A365" s="31">
        <v>364</v>
      </c>
      <c r="B365" s="5" t="s">
        <v>1105</v>
      </c>
      <c r="C365" s="4" t="s">
        <v>1106</v>
      </c>
      <c r="D365" s="4" t="s">
        <v>1107</v>
      </c>
      <c r="E365" s="4" t="s">
        <v>757</v>
      </c>
      <c r="F365" s="4" t="s">
        <v>1890</v>
      </c>
      <c r="G365" s="4" t="s">
        <v>1891</v>
      </c>
      <c r="H365" s="32" t="s">
        <v>1689</v>
      </c>
    </row>
    <row r="366" spans="1:8">
      <c r="A366" s="33">
        <v>365</v>
      </c>
      <c r="B366" s="34" t="s">
        <v>1108</v>
      </c>
      <c r="C366" s="35" t="s">
        <v>1109</v>
      </c>
      <c r="D366" s="35" t="s">
        <v>1110</v>
      </c>
      <c r="E366" s="35" t="s">
        <v>19</v>
      </c>
      <c r="F366" s="35" t="s">
        <v>1892</v>
      </c>
      <c r="G366" s="35" t="s">
        <v>1893</v>
      </c>
      <c r="H366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ColWidth="8.796875" defaultRowHeight="13.8"/>
  <cols>
    <col min="1" max="2" width="24" customWidth="1"/>
    <col min="3" max="3" width="58" customWidth="1"/>
    <col min="4" max="4" width="78" customWidth="1"/>
  </cols>
  <sheetData>
    <row r="1" spans="1:4">
      <c r="A1" s="37" t="s">
        <v>1894</v>
      </c>
      <c r="B1" s="37" t="s">
        <v>1895</v>
      </c>
      <c r="C1" s="37" t="s">
        <v>1896</v>
      </c>
      <c r="D1" s="37" t="s">
        <v>1897</v>
      </c>
    </row>
    <row r="2" spans="1:4" ht="27.6">
      <c r="A2" s="4" t="s">
        <v>1898</v>
      </c>
      <c r="B2" s="4" t="s">
        <v>1899</v>
      </c>
      <c r="C2" s="4" t="s">
        <v>1900</v>
      </c>
      <c r="D2" s="4" t="s">
        <v>1901</v>
      </c>
    </row>
    <row r="3" spans="1:4">
      <c r="A3" s="4" t="s">
        <v>1902</v>
      </c>
      <c r="B3" s="4" t="s">
        <v>1903</v>
      </c>
      <c r="C3" s="4" t="s">
        <v>1904</v>
      </c>
      <c r="D3" s="4" t="s">
        <v>1905</v>
      </c>
    </row>
    <row r="5" spans="1:4">
      <c r="A5" s="45" t="s">
        <v>1906</v>
      </c>
      <c r="B5" s="46"/>
      <c r="C5" s="46"/>
      <c r="D5" s="46"/>
    </row>
    <row r="6" spans="1:4" ht="55.2">
      <c r="A6" s="19" t="s">
        <v>1130</v>
      </c>
      <c r="B6" s="4" t="s">
        <v>1907</v>
      </c>
      <c r="C6" s="4"/>
      <c r="D6" s="4"/>
    </row>
    <row r="7" spans="1:4" ht="69">
      <c r="A7" s="19" t="s">
        <v>1132</v>
      </c>
      <c r="B7" s="4" t="s">
        <v>1908</v>
      </c>
      <c r="C7" s="4"/>
      <c r="D7" s="4"/>
    </row>
    <row r="8" spans="1:4" ht="96.6">
      <c r="A8" s="19" t="s">
        <v>1134</v>
      </c>
      <c r="B8" s="4" t="s">
        <v>1909</v>
      </c>
      <c r="C8" s="4"/>
      <c r="D8" s="4"/>
    </row>
    <row r="9" spans="1:4" ht="55.2">
      <c r="A9" s="19" t="s">
        <v>1136</v>
      </c>
      <c r="B9" s="4" t="s">
        <v>1910</v>
      </c>
      <c r="C9" s="4"/>
      <c r="D9" s="4"/>
    </row>
    <row r="10" spans="1:4" ht="55.2">
      <c r="A10" s="19" t="s">
        <v>1138</v>
      </c>
      <c r="B10" s="4" t="s">
        <v>1911</v>
      </c>
      <c r="C10" s="4"/>
      <c r="D10" s="4"/>
    </row>
  </sheetData>
  <mergeCells count="1">
    <mergeCell ref="A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2"/>
  <sheetViews>
    <sheetView workbookViewId="0"/>
  </sheetViews>
  <sheetFormatPr baseColWidth="10" defaultColWidth="8.796875" defaultRowHeight="13.8"/>
  <cols>
    <col min="1" max="6" width="9" customWidth="1"/>
  </cols>
  <sheetData>
    <row r="1" spans="1:6" ht="28.8" customHeight="1">
      <c r="A1" s="47" t="s">
        <v>1912</v>
      </c>
      <c r="B1" s="47"/>
      <c r="C1" s="47"/>
      <c r="D1" s="47"/>
      <c r="E1" s="47"/>
      <c r="F1" s="47"/>
    </row>
    <row r="3" spans="1:6" ht="16.8">
      <c r="A3" s="48" t="s">
        <v>1913</v>
      </c>
      <c r="B3" s="48"/>
      <c r="C3" s="49">
        <v>1</v>
      </c>
      <c r="D3" s="50"/>
      <c r="E3" s="51" t="str">
        <f>"Jour "&amp;$C$3&amp;" • "&amp;INDEX('Plan annuel'!$B$2:$B$366,$C$3)</f>
        <v>Jour 1 • 01/01</v>
      </c>
      <c r="F3" s="51"/>
    </row>
    <row r="5" spans="1:6" ht="27.15" customHeight="1">
      <c r="A5" s="52" t="str">
        <f>INDEX('Plan annuel'!$H$2:$H$366,$C$3)</f>
        <v>Création et nouvelle création</v>
      </c>
      <c r="B5" s="52"/>
      <c r="C5" s="52"/>
      <c r="D5" s="52"/>
      <c r="E5" s="52"/>
      <c r="F5" s="52"/>
    </row>
    <row r="7" spans="1:6">
      <c r="A7" s="53" t="s">
        <v>1914</v>
      </c>
      <c r="B7" s="54"/>
      <c r="C7" s="54"/>
      <c r="D7" s="54"/>
      <c r="E7" s="54"/>
      <c r="F7" s="55"/>
    </row>
    <row r="8" spans="1:6">
      <c r="A8" s="56" t="str">
        <f>INDEX('Plan annuel'!$D$2:$D$366,$C$3)</f>
        <v>Genèse 1–2</v>
      </c>
      <c r="B8" s="57"/>
      <c r="C8" s="57"/>
      <c r="D8" s="57"/>
      <c r="E8" s="57"/>
      <c r="F8" s="58"/>
    </row>
    <row r="9" spans="1:6">
      <c r="A9" s="56"/>
      <c r="B9" s="57"/>
      <c r="C9" s="57"/>
      <c r="D9" s="57"/>
      <c r="E9" s="57"/>
      <c r="F9" s="58"/>
    </row>
    <row r="10" spans="1:6">
      <c r="A10" s="59" t="str">
        <f>HYPERLINK(INDEX('Audio quotidien'!$F$2:$F$366,$C$3),"▶ ÉCOUTER L’ANCIEN TESTAMENT")</f>
        <v>▶ ÉCOUTER L’ANCIEN TESTAMENT</v>
      </c>
      <c r="B10" s="60"/>
      <c r="C10" s="60"/>
      <c r="D10" s="60"/>
      <c r="E10" s="60"/>
      <c r="F10" s="61"/>
    </row>
    <row r="11" spans="1:6">
      <c r="A11" s="62"/>
      <c r="B11" s="63"/>
      <c r="C11" s="63"/>
      <c r="D11" s="63"/>
      <c r="E11" s="63"/>
      <c r="F11" s="64"/>
    </row>
    <row r="13" spans="1:6">
      <c r="A13" s="65" t="s">
        <v>1915</v>
      </c>
      <c r="B13" s="66"/>
      <c r="C13" s="66"/>
      <c r="D13" s="66"/>
      <c r="E13" s="66"/>
      <c r="F13" s="67"/>
    </row>
    <row r="14" spans="1:6">
      <c r="A14" s="56" t="str">
        <f>INDEX('Plan annuel'!$E$2:$E$366,$C$3)</f>
        <v>Jean 1.1-5</v>
      </c>
      <c r="B14" s="57"/>
      <c r="C14" s="57"/>
      <c r="D14" s="57"/>
      <c r="E14" s="57"/>
      <c r="F14" s="58"/>
    </row>
    <row r="15" spans="1:6">
      <c r="A15" s="56"/>
      <c r="B15" s="57"/>
      <c r="C15" s="57"/>
      <c r="D15" s="57"/>
      <c r="E15" s="57"/>
      <c r="F15" s="58"/>
    </row>
    <row r="16" spans="1:6">
      <c r="A16" s="68" t="str">
        <f>HYPERLINK(INDEX('Audio quotidien'!$G$2:$G$366,$C$3),"▶ ÉCOUTER LE NOUVEAU TESTAMENT")</f>
        <v>▶ ÉCOUTER LE NOUVEAU TESTAMENT</v>
      </c>
      <c r="B16" s="69"/>
      <c r="C16" s="69"/>
      <c r="D16" s="69"/>
      <c r="E16" s="69"/>
      <c r="F16" s="70"/>
    </row>
    <row r="17" spans="1:6">
      <c r="A17" s="71"/>
      <c r="B17" s="72"/>
      <c r="C17" s="72"/>
      <c r="D17" s="72"/>
      <c r="E17" s="72"/>
      <c r="F17" s="73"/>
    </row>
    <row r="19" spans="1:6">
      <c r="A19" s="74" t="s">
        <v>1916</v>
      </c>
      <c r="B19" s="75"/>
      <c r="C19" s="75"/>
      <c r="D19" s="75"/>
      <c r="E19" s="75"/>
      <c r="F19" s="76"/>
    </row>
    <row r="20" spans="1:6">
      <c r="A20" s="77" t="str">
        <f>IF(INDEX('Plan annuel'!$G$2:$G$366,$C$3)="—","Aucun passage miroir aujourd’hui",INDEX('Plan annuel'!$G$2:$G$366,$C$3))</f>
        <v>Aucun passage miroir aujourd’hui</v>
      </c>
      <c r="B20" s="78"/>
      <c r="C20" s="78"/>
      <c r="D20" s="78"/>
      <c r="E20" s="78"/>
      <c r="F20" s="79"/>
    </row>
    <row r="21" spans="1:6">
      <c r="A21" s="77"/>
      <c r="B21" s="78"/>
      <c r="C21" s="78"/>
      <c r="D21" s="78"/>
      <c r="E21" s="78"/>
      <c r="F21" s="79"/>
    </row>
    <row r="22" spans="1:6">
      <c r="A22" s="80" t="str">
        <f>IF(INDEX('Plan annuel'!$G$2:$G$366,$C$3)="—","",HYPERLINK(INDEX('Audio quotidien'!$H$2:$H$366,$C$3),"▶ ÉCOUTER LE PASSAGE MIROIR"))</f>
        <v/>
      </c>
      <c r="B22" s="81"/>
      <c r="C22" s="81"/>
      <c r="D22" s="81"/>
      <c r="E22" s="81"/>
      <c r="F22" s="82"/>
    </row>
    <row r="23" spans="1:6">
      <c r="A23" s="83"/>
      <c r="B23" s="84"/>
      <c r="C23" s="84"/>
      <c r="D23" s="84"/>
      <c r="E23" s="84"/>
      <c r="F23" s="85"/>
    </row>
    <row r="25" spans="1:6">
      <c r="A25" s="86" t="s">
        <v>1917</v>
      </c>
      <c r="B25" s="87"/>
      <c r="C25" s="87"/>
      <c r="D25" s="87"/>
      <c r="E25" s="87"/>
      <c r="F25" s="88"/>
    </row>
    <row r="26" spans="1:6" ht="24" customHeight="1">
      <c r="A26" s="89" t="str">
        <f>INDEX('Plan annuel'!$I$2:$I$366,$C$3)</f>
        <v>Création / accomplissement eschatologique</v>
      </c>
      <c r="B26" s="90"/>
      <c r="C26" s="90"/>
      <c r="D26" s="90"/>
      <c r="E26" s="90"/>
      <c r="F26" s="91"/>
    </row>
    <row r="27" spans="1:6">
      <c r="A27" s="92" t="str">
        <f>INDEX('Plan annuel'!$J$2:$J$366,$C$3)</f>
        <v>Le texte de l'AT contemple l'œuvre créatrice de Dieu ; le NT la relit à la lumière du Christ et de la nouvelle création.</v>
      </c>
      <c r="B27" s="93"/>
      <c r="C27" s="93"/>
      <c r="D27" s="93"/>
      <c r="E27" s="93"/>
      <c r="F27" s="94"/>
    </row>
    <row r="28" spans="1:6">
      <c r="A28" s="92"/>
      <c r="B28" s="93"/>
      <c r="C28" s="93"/>
      <c r="D28" s="93"/>
      <c r="E28" s="93"/>
      <c r="F28" s="94"/>
    </row>
    <row r="29" spans="1:6">
      <c r="A29" s="92"/>
      <c r="B29" s="93"/>
      <c r="C29" s="93"/>
      <c r="D29" s="93"/>
      <c r="E29" s="93"/>
      <c r="F29" s="94"/>
    </row>
    <row r="30" spans="1:6">
      <c r="A30" s="95"/>
      <c r="B30" s="96"/>
      <c r="C30" s="96"/>
      <c r="D30" s="96"/>
      <c r="E30" s="96"/>
      <c r="F30" s="97"/>
    </row>
    <row r="32" spans="1:6">
      <c r="A32" s="98" t="s">
        <v>1918</v>
      </c>
      <c r="B32" s="99"/>
      <c r="C32" s="100" t="str">
        <f>INDEX('Plan annuel'!$K$2:$K$366,$C$3)</f>
        <v>À lire</v>
      </c>
      <c r="D32" s="100"/>
      <c r="E32" s="39"/>
      <c r="F32" s="40"/>
    </row>
    <row r="33" spans="1:6">
      <c r="A33" s="41"/>
      <c r="F33" s="42"/>
    </row>
    <row r="34" spans="1:6">
      <c r="A34" s="101" t="s">
        <v>11</v>
      </c>
      <c r="B34" s="102"/>
      <c r="C34" s="102"/>
      <c r="D34" s="102"/>
      <c r="E34" s="102"/>
      <c r="F34" s="103"/>
    </row>
    <row r="35" spans="1:6">
      <c r="A35" s="104" t="str">
        <f>IF(INDEX('Plan annuel'!$L$2:$L$366,$C$3)="","",INDEX('Plan annuel'!$L$2:$L$366,$C$3))</f>
        <v/>
      </c>
      <c r="B35" s="105"/>
      <c r="C35" s="105"/>
      <c r="D35" s="105"/>
      <c r="E35" s="105"/>
      <c r="F35" s="106"/>
    </row>
    <row r="36" spans="1:6">
      <c r="A36" s="104"/>
      <c r="B36" s="105"/>
      <c r="C36" s="105"/>
      <c r="D36" s="105"/>
      <c r="E36" s="105"/>
      <c r="F36" s="106"/>
    </row>
    <row r="37" spans="1:6">
      <c r="A37" s="104"/>
      <c r="B37" s="105"/>
      <c r="C37" s="105"/>
      <c r="D37" s="105"/>
      <c r="E37" s="105"/>
      <c r="F37" s="106"/>
    </row>
    <row r="38" spans="1:6">
      <c r="A38" s="107"/>
      <c r="B38" s="108"/>
      <c r="C38" s="108"/>
      <c r="D38" s="108"/>
      <c r="E38" s="108"/>
      <c r="F38" s="109"/>
    </row>
    <row r="40" spans="1:6">
      <c r="A40" s="110" t="s">
        <v>1919</v>
      </c>
      <c r="B40" s="110"/>
      <c r="C40" s="110"/>
      <c r="D40" s="110"/>
      <c r="E40" s="110"/>
      <c r="F40" s="110"/>
    </row>
    <row r="41" spans="1:6">
      <c r="A41" s="110"/>
      <c r="B41" s="110"/>
      <c r="C41" s="110"/>
      <c r="D41" s="110"/>
      <c r="E41" s="110"/>
      <c r="F41" s="110"/>
    </row>
    <row r="42" spans="1:6">
      <c r="A42" s="110"/>
      <c r="B42" s="110"/>
      <c r="C42" s="110"/>
      <c r="D42" s="110"/>
      <c r="E42" s="110"/>
      <c r="F42" s="110"/>
    </row>
  </sheetData>
  <mergeCells count="22">
    <mergeCell ref="A35:F38"/>
    <mergeCell ref="A40:F42"/>
    <mergeCell ref="A26:F26"/>
    <mergeCell ref="A27:F30"/>
    <mergeCell ref="A32:B32"/>
    <mergeCell ref="C32:D32"/>
    <mergeCell ref="A34:F34"/>
    <mergeCell ref="A16:F17"/>
    <mergeCell ref="A19:F19"/>
    <mergeCell ref="A20:F21"/>
    <mergeCell ref="A22:F23"/>
    <mergeCell ref="A25:F25"/>
    <mergeCell ref="A7:F7"/>
    <mergeCell ref="A8:F9"/>
    <mergeCell ref="A10:F11"/>
    <mergeCell ref="A13:F13"/>
    <mergeCell ref="A14:F15"/>
    <mergeCell ref="A1:F1"/>
    <mergeCell ref="A3:B3"/>
    <mergeCell ref="C3:D3"/>
    <mergeCell ref="E3:F3"/>
    <mergeCell ref="A5:F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'Plan annuel'!$A$2:$A$366</xm:f>
          </x14:formula1>
          <xm:sqref>C3:D3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40"/>
  <sheetViews>
    <sheetView workbookViewId="0"/>
  </sheetViews>
  <sheetFormatPr baseColWidth="10" defaultColWidth="8.796875" defaultRowHeight="13.8"/>
  <cols>
    <col min="1" max="1" width="7" customWidth="1"/>
    <col min="2" max="2" width="9" customWidth="1"/>
    <col min="3" max="3" width="10" customWidth="1"/>
    <col min="4" max="4" width="25" customWidth="1"/>
    <col min="5" max="5" width="22" customWidth="1"/>
    <col min="6" max="6" width="58" customWidth="1"/>
    <col min="7" max="8" width="28" customWidth="1"/>
  </cols>
  <sheetData>
    <row r="1" spans="1:8">
      <c r="A1" s="43" t="s">
        <v>0</v>
      </c>
      <c r="B1" s="43" t="s">
        <v>1</v>
      </c>
      <c r="C1" s="43" t="s">
        <v>1920</v>
      </c>
      <c r="D1" s="43" t="s">
        <v>1921</v>
      </c>
      <c r="E1" s="43" t="s">
        <v>1922</v>
      </c>
      <c r="F1" s="43" t="s">
        <v>1923</v>
      </c>
      <c r="G1" s="43" t="s">
        <v>1179</v>
      </c>
      <c r="H1" s="43" t="s">
        <v>1924</v>
      </c>
    </row>
    <row r="2" spans="1:8" ht="27.6">
      <c r="A2" s="4">
        <v>1</v>
      </c>
      <c r="B2" s="4" t="s">
        <v>15</v>
      </c>
      <c r="C2" s="4" t="s">
        <v>1925</v>
      </c>
      <c r="D2" s="4" t="s">
        <v>16</v>
      </c>
      <c r="E2" s="4" t="s">
        <v>1926</v>
      </c>
      <c r="F2" s="4" t="s">
        <v>1269</v>
      </c>
      <c r="G2" s="4" t="s">
        <v>20</v>
      </c>
      <c r="H2" s="4" t="s">
        <v>1927</v>
      </c>
    </row>
    <row r="3" spans="1:8">
      <c r="A3" s="4">
        <v>1</v>
      </c>
      <c r="B3" s="4" t="s">
        <v>15</v>
      </c>
      <c r="C3" s="4" t="s">
        <v>1925</v>
      </c>
      <c r="D3" s="4" t="s">
        <v>16</v>
      </c>
      <c r="E3" s="4" t="s">
        <v>1928</v>
      </c>
      <c r="F3" s="4" t="s">
        <v>1929</v>
      </c>
      <c r="G3" s="4"/>
      <c r="H3" s="4"/>
    </row>
    <row r="4" spans="1:8">
      <c r="A4" s="4">
        <v>1</v>
      </c>
      <c r="B4" s="4" t="s">
        <v>15</v>
      </c>
      <c r="C4" s="4" t="s">
        <v>1930</v>
      </c>
      <c r="D4" s="4" t="s">
        <v>17</v>
      </c>
      <c r="E4" s="4" t="s">
        <v>636</v>
      </c>
      <c r="F4" s="4" t="s">
        <v>1270</v>
      </c>
      <c r="G4" s="4"/>
      <c r="H4" s="4"/>
    </row>
    <row r="5" spans="1:8" ht="27.6">
      <c r="A5" s="4">
        <v>2</v>
      </c>
      <c r="B5" s="4" t="s">
        <v>24</v>
      </c>
      <c r="C5" s="4" t="s">
        <v>1925</v>
      </c>
      <c r="D5" s="4" t="s">
        <v>25</v>
      </c>
      <c r="E5" s="4" t="s">
        <v>1931</v>
      </c>
      <c r="F5" s="4" t="s">
        <v>1271</v>
      </c>
      <c r="G5" s="4" t="s">
        <v>29</v>
      </c>
      <c r="H5" s="4" t="s">
        <v>1927</v>
      </c>
    </row>
    <row r="6" spans="1:8">
      <c r="A6" s="4">
        <v>2</v>
      </c>
      <c r="B6" s="4" t="s">
        <v>24</v>
      </c>
      <c r="C6" s="4" t="s">
        <v>1925</v>
      </c>
      <c r="D6" s="4" t="s">
        <v>25</v>
      </c>
      <c r="E6" s="4" t="s">
        <v>1932</v>
      </c>
      <c r="F6" s="4" t="s">
        <v>1933</v>
      </c>
      <c r="G6" s="4"/>
      <c r="H6" s="4"/>
    </row>
    <row r="7" spans="1:8">
      <c r="A7" s="4">
        <v>2</v>
      </c>
      <c r="B7" s="4" t="s">
        <v>24</v>
      </c>
      <c r="C7" s="4" t="s">
        <v>1925</v>
      </c>
      <c r="D7" s="4" t="s">
        <v>25</v>
      </c>
      <c r="E7" s="4" t="s">
        <v>1934</v>
      </c>
      <c r="F7" s="4" t="s">
        <v>1935</v>
      </c>
      <c r="G7" s="4"/>
      <c r="H7" s="4"/>
    </row>
    <row r="8" spans="1:8">
      <c r="A8" s="4">
        <v>2</v>
      </c>
      <c r="B8" s="4" t="s">
        <v>24</v>
      </c>
      <c r="C8" s="4" t="s">
        <v>1930</v>
      </c>
      <c r="D8" s="4" t="s">
        <v>26</v>
      </c>
      <c r="E8" s="4" t="s">
        <v>26</v>
      </c>
      <c r="F8" s="4" t="s">
        <v>1272</v>
      </c>
      <c r="G8" s="4"/>
      <c r="H8" s="4"/>
    </row>
    <row r="9" spans="1:8">
      <c r="A9" s="4">
        <v>2</v>
      </c>
      <c r="B9" s="4" t="s">
        <v>24</v>
      </c>
      <c r="C9" s="4" t="s">
        <v>1936</v>
      </c>
      <c r="D9" s="4" t="s">
        <v>28</v>
      </c>
      <c r="E9" s="4" t="s">
        <v>877</v>
      </c>
      <c r="F9" s="4" t="s">
        <v>1273</v>
      </c>
      <c r="G9" s="4"/>
      <c r="H9" s="4"/>
    </row>
    <row r="10" spans="1:8" ht="27.6">
      <c r="A10" s="4">
        <v>3</v>
      </c>
      <c r="B10" s="4" t="s">
        <v>31</v>
      </c>
      <c r="C10" s="4" t="s">
        <v>1925</v>
      </c>
      <c r="D10" s="4" t="s">
        <v>32</v>
      </c>
      <c r="E10" s="4" t="s">
        <v>1937</v>
      </c>
      <c r="F10" s="4" t="s">
        <v>1274</v>
      </c>
      <c r="G10" s="4" t="s">
        <v>34</v>
      </c>
      <c r="H10" s="4" t="s">
        <v>1927</v>
      </c>
    </row>
    <row r="11" spans="1:8">
      <c r="A11" s="4">
        <v>3</v>
      </c>
      <c r="B11" s="4" t="s">
        <v>31</v>
      </c>
      <c r="C11" s="4" t="s">
        <v>1925</v>
      </c>
      <c r="D11" s="4" t="s">
        <v>32</v>
      </c>
      <c r="E11" s="4" t="s">
        <v>1938</v>
      </c>
      <c r="F11" s="4" t="s">
        <v>1939</v>
      </c>
      <c r="G11" s="4"/>
      <c r="H11" s="4"/>
    </row>
    <row r="12" spans="1:8">
      <c r="A12" s="4">
        <v>3</v>
      </c>
      <c r="B12" s="4" t="s">
        <v>31</v>
      </c>
      <c r="C12" s="4" t="s">
        <v>1930</v>
      </c>
      <c r="D12" s="4" t="s">
        <v>33</v>
      </c>
      <c r="E12" s="4" t="s">
        <v>170</v>
      </c>
      <c r="F12" s="4" t="s">
        <v>1275</v>
      </c>
      <c r="G12" s="4"/>
      <c r="H12" s="4"/>
    </row>
    <row r="13" spans="1:8" ht="27.6">
      <c r="A13" s="4">
        <v>4</v>
      </c>
      <c r="B13" s="4" t="s">
        <v>36</v>
      </c>
      <c r="C13" s="4" t="s">
        <v>1925</v>
      </c>
      <c r="D13" s="4" t="s">
        <v>37</v>
      </c>
      <c r="E13" s="4" t="s">
        <v>1940</v>
      </c>
      <c r="F13" s="4" t="s">
        <v>1276</v>
      </c>
      <c r="G13" s="4" t="s">
        <v>39</v>
      </c>
      <c r="H13" s="4" t="s">
        <v>1927</v>
      </c>
    </row>
    <row r="14" spans="1:8">
      <c r="A14" s="4">
        <v>4</v>
      </c>
      <c r="B14" s="4" t="s">
        <v>36</v>
      </c>
      <c r="C14" s="4" t="s">
        <v>1925</v>
      </c>
      <c r="D14" s="4" t="s">
        <v>37</v>
      </c>
      <c r="E14" s="4" t="s">
        <v>1941</v>
      </c>
      <c r="F14" s="4" t="s">
        <v>1942</v>
      </c>
      <c r="G14" s="4"/>
      <c r="H14" s="4"/>
    </row>
    <row r="15" spans="1:8">
      <c r="A15" s="4">
        <v>4</v>
      </c>
      <c r="B15" s="4" t="s">
        <v>36</v>
      </c>
      <c r="C15" s="4" t="s">
        <v>1925</v>
      </c>
      <c r="D15" s="4" t="s">
        <v>37</v>
      </c>
      <c r="E15" s="4" t="s">
        <v>1943</v>
      </c>
      <c r="F15" s="4" t="s">
        <v>1944</v>
      </c>
      <c r="G15" s="4"/>
      <c r="H15" s="4"/>
    </row>
    <row r="16" spans="1:8">
      <c r="A16" s="4">
        <v>4</v>
      </c>
      <c r="B16" s="4" t="s">
        <v>36</v>
      </c>
      <c r="C16" s="4" t="s">
        <v>1930</v>
      </c>
      <c r="D16" s="4" t="s">
        <v>38</v>
      </c>
      <c r="E16" s="4" t="s">
        <v>38</v>
      </c>
      <c r="F16" s="4" t="s">
        <v>1277</v>
      </c>
      <c r="G16" s="4"/>
      <c r="H16" s="4"/>
    </row>
    <row r="17" spans="1:8" ht="27.6">
      <c r="A17" s="4">
        <v>5</v>
      </c>
      <c r="B17" s="4" t="s">
        <v>42</v>
      </c>
      <c r="C17" s="4" t="s">
        <v>1925</v>
      </c>
      <c r="D17" s="4" t="s">
        <v>43</v>
      </c>
      <c r="E17" s="4" t="s">
        <v>1945</v>
      </c>
      <c r="F17" s="4" t="s">
        <v>1278</v>
      </c>
      <c r="G17" s="4" t="s">
        <v>39</v>
      </c>
      <c r="H17" s="4" t="s">
        <v>1927</v>
      </c>
    </row>
    <row r="18" spans="1:8">
      <c r="A18" s="4">
        <v>5</v>
      </c>
      <c r="B18" s="4" t="s">
        <v>42</v>
      </c>
      <c r="C18" s="4" t="s">
        <v>1925</v>
      </c>
      <c r="D18" s="4" t="s">
        <v>43</v>
      </c>
      <c r="E18" s="4" t="s">
        <v>1946</v>
      </c>
      <c r="F18" s="4" t="s">
        <v>1947</v>
      </c>
      <c r="G18" s="4"/>
      <c r="H18" s="4"/>
    </row>
    <row r="19" spans="1:8">
      <c r="A19" s="4">
        <v>5</v>
      </c>
      <c r="B19" s="4" t="s">
        <v>42</v>
      </c>
      <c r="C19" s="4" t="s">
        <v>1930</v>
      </c>
      <c r="D19" s="4" t="s">
        <v>44</v>
      </c>
      <c r="E19" s="4" t="s">
        <v>44</v>
      </c>
      <c r="F19" s="4" t="s">
        <v>1279</v>
      </c>
      <c r="G19" s="4"/>
      <c r="H19" s="4"/>
    </row>
    <row r="20" spans="1:8" ht="27.6">
      <c r="A20" s="4">
        <v>6</v>
      </c>
      <c r="B20" s="4" t="s">
        <v>45</v>
      </c>
      <c r="C20" s="4" t="s">
        <v>1925</v>
      </c>
      <c r="D20" s="4" t="s">
        <v>46</v>
      </c>
      <c r="E20" s="4" t="s">
        <v>1948</v>
      </c>
      <c r="F20" s="4" t="s">
        <v>1280</v>
      </c>
      <c r="G20" s="4" t="s">
        <v>39</v>
      </c>
      <c r="H20" s="4" t="s">
        <v>1927</v>
      </c>
    </row>
    <row r="21" spans="1:8">
      <c r="A21" s="4">
        <v>6</v>
      </c>
      <c r="B21" s="4" t="s">
        <v>45</v>
      </c>
      <c r="C21" s="4" t="s">
        <v>1925</v>
      </c>
      <c r="D21" s="4" t="s">
        <v>46</v>
      </c>
      <c r="E21" s="4" t="s">
        <v>1949</v>
      </c>
      <c r="F21" s="4" t="s">
        <v>1950</v>
      </c>
      <c r="G21" s="4"/>
      <c r="H21" s="4"/>
    </row>
    <row r="22" spans="1:8">
      <c r="A22" s="4">
        <v>6</v>
      </c>
      <c r="B22" s="4" t="s">
        <v>45</v>
      </c>
      <c r="C22" s="4" t="s">
        <v>1925</v>
      </c>
      <c r="D22" s="4" t="s">
        <v>46</v>
      </c>
      <c r="E22" s="4" t="s">
        <v>1951</v>
      </c>
      <c r="F22" s="4" t="s">
        <v>1952</v>
      </c>
      <c r="G22" s="4"/>
      <c r="H22" s="4"/>
    </row>
    <row r="23" spans="1:8">
      <c r="A23" s="4">
        <v>6</v>
      </c>
      <c r="B23" s="4" t="s">
        <v>45</v>
      </c>
      <c r="C23" s="4" t="s">
        <v>1930</v>
      </c>
      <c r="D23" s="4" t="s">
        <v>47</v>
      </c>
      <c r="E23" s="4" t="s">
        <v>47</v>
      </c>
      <c r="F23" s="4" t="s">
        <v>1281</v>
      </c>
      <c r="G23" s="4"/>
      <c r="H23" s="4"/>
    </row>
    <row r="24" spans="1:8" ht="27.6">
      <c r="A24" s="4">
        <v>7</v>
      </c>
      <c r="B24" s="4" t="s">
        <v>48</v>
      </c>
      <c r="C24" s="4" t="s">
        <v>1925</v>
      </c>
      <c r="D24" s="4" t="s">
        <v>49</v>
      </c>
      <c r="E24" s="4" t="s">
        <v>1953</v>
      </c>
      <c r="F24" s="4" t="s">
        <v>1282</v>
      </c>
      <c r="G24" s="4" t="s">
        <v>39</v>
      </c>
      <c r="H24" s="4" t="s">
        <v>1927</v>
      </c>
    </row>
    <row r="25" spans="1:8">
      <c r="A25" s="4">
        <v>7</v>
      </c>
      <c r="B25" s="4" t="s">
        <v>48</v>
      </c>
      <c r="C25" s="4" t="s">
        <v>1925</v>
      </c>
      <c r="D25" s="4" t="s">
        <v>49</v>
      </c>
      <c r="E25" s="4" t="s">
        <v>1954</v>
      </c>
      <c r="F25" s="4" t="s">
        <v>1955</v>
      </c>
      <c r="G25" s="4"/>
      <c r="H25" s="4"/>
    </row>
    <row r="26" spans="1:8">
      <c r="A26" s="4">
        <v>7</v>
      </c>
      <c r="B26" s="4" t="s">
        <v>48</v>
      </c>
      <c r="C26" s="4" t="s">
        <v>1930</v>
      </c>
      <c r="D26" s="4" t="s">
        <v>50</v>
      </c>
      <c r="E26" s="4" t="s">
        <v>50</v>
      </c>
      <c r="F26" s="4" t="s">
        <v>1283</v>
      </c>
      <c r="G26" s="4"/>
      <c r="H26" s="4"/>
    </row>
    <row r="27" spans="1:8" ht="27.6">
      <c r="A27" s="4">
        <v>8</v>
      </c>
      <c r="B27" s="4" t="s">
        <v>51</v>
      </c>
      <c r="C27" s="4" t="s">
        <v>1925</v>
      </c>
      <c r="D27" s="4" t="s">
        <v>52</v>
      </c>
      <c r="E27" s="4" t="s">
        <v>1956</v>
      </c>
      <c r="F27" s="4" t="s">
        <v>1284</v>
      </c>
      <c r="G27" s="4" t="s">
        <v>29</v>
      </c>
      <c r="H27" s="4" t="s">
        <v>1927</v>
      </c>
    </row>
    <row r="28" spans="1:8">
      <c r="A28" s="4">
        <v>8</v>
      </c>
      <c r="B28" s="4" t="s">
        <v>51</v>
      </c>
      <c r="C28" s="4" t="s">
        <v>1925</v>
      </c>
      <c r="D28" s="4" t="s">
        <v>52</v>
      </c>
      <c r="E28" s="4" t="s">
        <v>1957</v>
      </c>
      <c r="F28" s="4" t="s">
        <v>1958</v>
      </c>
      <c r="G28" s="4"/>
      <c r="H28" s="4"/>
    </row>
    <row r="29" spans="1:8">
      <c r="A29" s="4">
        <v>8</v>
      </c>
      <c r="B29" s="4" t="s">
        <v>51</v>
      </c>
      <c r="C29" s="4" t="s">
        <v>1925</v>
      </c>
      <c r="D29" s="4" t="s">
        <v>52</v>
      </c>
      <c r="E29" s="4" t="s">
        <v>1959</v>
      </c>
      <c r="F29" s="4" t="s">
        <v>1960</v>
      </c>
      <c r="G29" s="4"/>
      <c r="H29" s="4"/>
    </row>
    <row r="30" spans="1:8">
      <c r="A30" s="4">
        <v>8</v>
      </c>
      <c r="B30" s="4" t="s">
        <v>51</v>
      </c>
      <c r="C30" s="4" t="s">
        <v>1930</v>
      </c>
      <c r="D30" s="4" t="s">
        <v>28</v>
      </c>
      <c r="E30" s="4" t="s">
        <v>877</v>
      </c>
      <c r="F30" s="4" t="s">
        <v>1273</v>
      </c>
      <c r="G30" s="4"/>
      <c r="H30" s="4"/>
    </row>
    <row r="31" spans="1:8" ht="27.6">
      <c r="A31" s="4">
        <v>9</v>
      </c>
      <c r="B31" s="4" t="s">
        <v>53</v>
      </c>
      <c r="C31" s="4" t="s">
        <v>1925</v>
      </c>
      <c r="D31" s="4" t="s">
        <v>54</v>
      </c>
      <c r="E31" s="4" t="s">
        <v>1961</v>
      </c>
      <c r="F31" s="4" t="s">
        <v>1285</v>
      </c>
      <c r="G31" s="4" t="s">
        <v>56</v>
      </c>
      <c r="H31" s="4" t="s">
        <v>1927</v>
      </c>
    </row>
    <row r="32" spans="1:8">
      <c r="A32" s="4">
        <v>9</v>
      </c>
      <c r="B32" s="4" t="s">
        <v>53</v>
      </c>
      <c r="C32" s="4" t="s">
        <v>1925</v>
      </c>
      <c r="D32" s="4" t="s">
        <v>54</v>
      </c>
      <c r="E32" s="4" t="s">
        <v>1962</v>
      </c>
      <c r="F32" s="4" t="s">
        <v>1963</v>
      </c>
      <c r="G32" s="4"/>
      <c r="H32" s="4"/>
    </row>
    <row r="33" spans="1:8">
      <c r="A33" s="4">
        <v>9</v>
      </c>
      <c r="B33" s="4" t="s">
        <v>53</v>
      </c>
      <c r="C33" s="4" t="s">
        <v>1930</v>
      </c>
      <c r="D33" s="4" t="s">
        <v>55</v>
      </c>
      <c r="E33" s="4" t="s">
        <v>151</v>
      </c>
      <c r="F33" s="4" t="s">
        <v>1286</v>
      </c>
      <c r="G33" s="4"/>
      <c r="H33" s="4"/>
    </row>
    <row r="34" spans="1:8" ht="27.6">
      <c r="A34" s="4">
        <v>10</v>
      </c>
      <c r="B34" s="4" t="s">
        <v>59</v>
      </c>
      <c r="C34" s="4" t="s">
        <v>1925</v>
      </c>
      <c r="D34" s="4" t="s">
        <v>60</v>
      </c>
      <c r="E34" s="4" t="s">
        <v>1964</v>
      </c>
      <c r="F34" s="4" t="s">
        <v>1287</v>
      </c>
      <c r="G34" s="4" t="s">
        <v>34</v>
      </c>
      <c r="H34" s="4" t="s">
        <v>1927</v>
      </c>
    </row>
    <row r="35" spans="1:8">
      <c r="A35" s="4">
        <v>10</v>
      </c>
      <c r="B35" s="4" t="s">
        <v>59</v>
      </c>
      <c r="C35" s="4" t="s">
        <v>1925</v>
      </c>
      <c r="D35" s="4" t="s">
        <v>60</v>
      </c>
      <c r="E35" s="4" t="s">
        <v>1965</v>
      </c>
      <c r="F35" s="4" t="s">
        <v>1966</v>
      </c>
      <c r="G35" s="4"/>
      <c r="H35" s="4"/>
    </row>
    <row r="36" spans="1:8">
      <c r="A36" s="4">
        <v>10</v>
      </c>
      <c r="B36" s="4" t="s">
        <v>59</v>
      </c>
      <c r="C36" s="4" t="s">
        <v>1925</v>
      </c>
      <c r="D36" s="4" t="s">
        <v>60</v>
      </c>
      <c r="E36" s="4" t="s">
        <v>1967</v>
      </c>
      <c r="F36" s="4" t="s">
        <v>1968</v>
      </c>
      <c r="G36" s="4"/>
      <c r="H36" s="4"/>
    </row>
    <row r="37" spans="1:8">
      <c r="A37" s="4">
        <v>10</v>
      </c>
      <c r="B37" s="4" t="s">
        <v>59</v>
      </c>
      <c r="C37" s="4" t="s">
        <v>1930</v>
      </c>
      <c r="D37" s="4" t="s">
        <v>33</v>
      </c>
      <c r="E37" s="4" t="s">
        <v>170</v>
      </c>
      <c r="F37" s="4" t="s">
        <v>1275</v>
      </c>
      <c r="G37" s="4"/>
      <c r="H37" s="4"/>
    </row>
    <row r="38" spans="1:8" ht="27.6">
      <c r="A38" s="4">
        <v>11</v>
      </c>
      <c r="B38" s="4" t="s">
        <v>61</v>
      </c>
      <c r="C38" s="4" t="s">
        <v>1925</v>
      </c>
      <c r="D38" s="4" t="s">
        <v>62</v>
      </c>
      <c r="E38" s="4" t="s">
        <v>1969</v>
      </c>
      <c r="F38" s="4" t="s">
        <v>1288</v>
      </c>
      <c r="G38" s="4" t="s">
        <v>34</v>
      </c>
      <c r="H38" s="4" t="s">
        <v>1927</v>
      </c>
    </row>
    <row r="39" spans="1:8">
      <c r="A39" s="4">
        <v>11</v>
      </c>
      <c r="B39" s="4" t="s">
        <v>61</v>
      </c>
      <c r="C39" s="4" t="s">
        <v>1925</v>
      </c>
      <c r="D39" s="4" t="s">
        <v>62</v>
      </c>
      <c r="E39" s="4" t="s">
        <v>1970</v>
      </c>
      <c r="F39" s="4" t="s">
        <v>1971</v>
      </c>
      <c r="G39" s="4"/>
      <c r="H39" s="4"/>
    </row>
    <row r="40" spans="1:8">
      <c r="A40" s="4">
        <v>11</v>
      </c>
      <c r="B40" s="4" t="s">
        <v>61</v>
      </c>
      <c r="C40" s="4" t="s">
        <v>1930</v>
      </c>
      <c r="D40" s="4" t="s">
        <v>33</v>
      </c>
      <c r="E40" s="4" t="s">
        <v>170</v>
      </c>
      <c r="F40" s="4" t="s">
        <v>1275</v>
      </c>
      <c r="G40" s="4"/>
      <c r="H40" s="4"/>
    </row>
    <row r="41" spans="1:8" ht="27.6">
      <c r="A41" s="4">
        <v>12</v>
      </c>
      <c r="B41" s="4" t="s">
        <v>63</v>
      </c>
      <c r="C41" s="4" t="s">
        <v>1925</v>
      </c>
      <c r="D41" s="4" t="s">
        <v>64</v>
      </c>
      <c r="E41" s="4" t="s">
        <v>1972</v>
      </c>
      <c r="F41" s="4" t="s">
        <v>1289</v>
      </c>
      <c r="G41" s="4" t="s">
        <v>34</v>
      </c>
      <c r="H41" s="4" t="s">
        <v>1927</v>
      </c>
    </row>
    <row r="42" spans="1:8">
      <c r="A42" s="4">
        <v>12</v>
      </c>
      <c r="B42" s="4" t="s">
        <v>63</v>
      </c>
      <c r="C42" s="4" t="s">
        <v>1925</v>
      </c>
      <c r="D42" s="4" t="s">
        <v>64</v>
      </c>
      <c r="E42" s="4" t="s">
        <v>1973</v>
      </c>
      <c r="F42" s="4" t="s">
        <v>1974</v>
      </c>
      <c r="G42" s="4"/>
      <c r="H42" s="4"/>
    </row>
    <row r="43" spans="1:8">
      <c r="A43" s="4">
        <v>12</v>
      </c>
      <c r="B43" s="4" t="s">
        <v>63</v>
      </c>
      <c r="C43" s="4" t="s">
        <v>1925</v>
      </c>
      <c r="D43" s="4" t="s">
        <v>64</v>
      </c>
      <c r="E43" s="4" t="s">
        <v>1975</v>
      </c>
      <c r="F43" s="4" t="s">
        <v>1976</v>
      </c>
      <c r="G43" s="4"/>
      <c r="H43" s="4"/>
    </row>
    <row r="44" spans="1:8">
      <c r="A44" s="4">
        <v>12</v>
      </c>
      <c r="B44" s="4" t="s">
        <v>63</v>
      </c>
      <c r="C44" s="4" t="s">
        <v>1930</v>
      </c>
      <c r="D44" s="4" t="s">
        <v>65</v>
      </c>
      <c r="E44" s="4" t="s">
        <v>65</v>
      </c>
      <c r="F44" s="4" t="s">
        <v>1290</v>
      </c>
      <c r="G44" s="4"/>
      <c r="H44" s="4"/>
    </row>
    <row r="45" spans="1:8" ht="27.6">
      <c r="A45" s="4">
        <v>13</v>
      </c>
      <c r="B45" s="4" t="s">
        <v>66</v>
      </c>
      <c r="C45" s="4" t="s">
        <v>1925</v>
      </c>
      <c r="D45" s="4" t="s">
        <v>67</v>
      </c>
      <c r="E45" s="4" t="s">
        <v>1977</v>
      </c>
      <c r="F45" s="4" t="s">
        <v>1291</v>
      </c>
      <c r="G45" s="4" t="s">
        <v>34</v>
      </c>
      <c r="H45" s="4" t="s">
        <v>1927</v>
      </c>
    </row>
    <row r="46" spans="1:8">
      <c r="A46" s="4">
        <v>13</v>
      </c>
      <c r="B46" s="4" t="s">
        <v>66</v>
      </c>
      <c r="C46" s="4" t="s">
        <v>1925</v>
      </c>
      <c r="D46" s="4" t="s">
        <v>67</v>
      </c>
      <c r="E46" s="4" t="s">
        <v>1978</v>
      </c>
      <c r="F46" s="4" t="s">
        <v>1979</v>
      </c>
      <c r="G46" s="4"/>
      <c r="H46" s="4"/>
    </row>
    <row r="47" spans="1:8">
      <c r="A47" s="4">
        <v>13</v>
      </c>
      <c r="B47" s="4" t="s">
        <v>66</v>
      </c>
      <c r="C47" s="4" t="s">
        <v>1925</v>
      </c>
      <c r="D47" s="4" t="s">
        <v>67</v>
      </c>
      <c r="E47" s="4" t="s">
        <v>1980</v>
      </c>
      <c r="F47" s="4" t="s">
        <v>1981</v>
      </c>
      <c r="G47" s="4"/>
      <c r="H47" s="4"/>
    </row>
    <row r="48" spans="1:8">
      <c r="A48" s="4">
        <v>13</v>
      </c>
      <c r="B48" s="4" t="s">
        <v>66</v>
      </c>
      <c r="C48" s="4" t="s">
        <v>1930</v>
      </c>
      <c r="D48" s="4" t="s">
        <v>68</v>
      </c>
      <c r="E48" s="4" t="s">
        <v>68</v>
      </c>
      <c r="F48" s="4" t="s">
        <v>1292</v>
      </c>
      <c r="G48" s="4"/>
      <c r="H48" s="4"/>
    </row>
    <row r="49" spans="1:8">
      <c r="A49" s="4">
        <v>13</v>
      </c>
      <c r="B49" s="4" t="s">
        <v>66</v>
      </c>
      <c r="C49" s="4" t="s">
        <v>1936</v>
      </c>
      <c r="D49" s="4" t="s">
        <v>33</v>
      </c>
      <c r="E49" s="4" t="s">
        <v>170</v>
      </c>
      <c r="F49" s="4" t="s">
        <v>1275</v>
      </c>
      <c r="G49" s="4"/>
      <c r="H49" s="4"/>
    </row>
    <row r="50" spans="1:8" ht="27.6">
      <c r="A50" s="4">
        <v>14</v>
      </c>
      <c r="B50" s="4" t="s">
        <v>69</v>
      </c>
      <c r="C50" s="4" t="s">
        <v>1925</v>
      </c>
      <c r="D50" s="4" t="s">
        <v>70</v>
      </c>
      <c r="E50" s="4" t="s">
        <v>1982</v>
      </c>
      <c r="F50" s="4" t="s">
        <v>1293</v>
      </c>
      <c r="G50" s="4" t="s">
        <v>34</v>
      </c>
      <c r="H50" s="4" t="s">
        <v>1927</v>
      </c>
    </row>
    <row r="51" spans="1:8">
      <c r="A51" s="4">
        <v>14</v>
      </c>
      <c r="B51" s="4" t="s">
        <v>69</v>
      </c>
      <c r="C51" s="4" t="s">
        <v>1925</v>
      </c>
      <c r="D51" s="4" t="s">
        <v>70</v>
      </c>
      <c r="E51" s="4" t="s">
        <v>1983</v>
      </c>
      <c r="F51" s="4" t="s">
        <v>1984</v>
      </c>
      <c r="G51" s="4"/>
      <c r="H51" s="4"/>
    </row>
    <row r="52" spans="1:8">
      <c r="A52" s="4">
        <v>14</v>
      </c>
      <c r="B52" s="4" t="s">
        <v>69</v>
      </c>
      <c r="C52" s="4" t="s">
        <v>1930</v>
      </c>
      <c r="D52" s="4" t="s">
        <v>71</v>
      </c>
      <c r="E52" s="4" t="s">
        <v>71</v>
      </c>
      <c r="F52" s="4" t="s">
        <v>1294</v>
      </c>
      <c r="G52" s="4"/>
      <c r="H52" s="4"/>
    </row>
    <row r="53" spans="1:8">
      <c r="A53" s="4">
        <v>14</v>
      </c>
      <c r="B53" s="4" t="s">
        <v>69</v>
      </c>
      <c r="C53" s="4" t="s">
        <v>1936</v>
      </c>
      <c r="D53" s="4" t="s">
        <v>33</v>
      </c>
      <c r="E53" s="4" t="s">
        <v>170</v>
      </c>
      <c r="F53" s="4" t="s">
        <v>1275</v>
      </c>
      <c r="G53" s="4"/>
      <c r="H53" s="4"/>
    </row>
    <row r="54" spans="1:8" ht="27.6">
      <c r="A54" s="4">
        <v>15</v>
      </c>
      <c r="B54" s="4" t="s">
        <v>72</v>
      </c>
      <c r="C54" s="4" t="s">
        <v>1925</v>
      </c>
      <c r="D54" s="4" t="s">
        <v>73</v>
      </c>
      <c r="E54" s="4" t="s">
        <v>1985</v>
      </c>
      <c r="F54" s="4" t="s">
        <v>1295</v>
      </c>
      <c r="G54" s="4" t="s">
        <v>34</v>
      </c>
      <c r="H54" s="4" t="s">
        <v>1927</v>
      </c>
    </row>
    <row r="55" spans="1:8">
      <c r="A55" s="4">
        <v>15</v>
      </c>
      <c r="B55" s="4" t="s">
        <v>72</v>
      </c>
      <c r="C55" s="4" t="s">
        <v>1925</v>
      </c>
      <c r="D55" s="4" t="s">
        <v>73</v>
      </c>
      <c r="E55" s="4" t="s">
        <v>1986</v>
      </c>
      <c r="F55" s="4" t="s">
        <v>1987</v>
      </c>
      <c r="G55" s="4"/>
      <c r="H55" s="4"/>
    </row>
    <row r="56" spans="1:8">
      <c r="A56" s="4">
        <v>15</v>
      </c>
      <c r="B56" s="4" t="s">
        <v>72</v>
      </c>
      <c r="C56" s="4" t="s">
        <v>1925</v>
      </c>
      <c r="D56" s="4" t="s">
        <v>73</v>
      </c>
      <c r="E56" s="4" t="s">
        <v>1988</v>
      </c>
      <c r="F56" s="4" t="s">
        <v>1989</v>
      </c>
      <c r="G56" s="4"/>
      <c r="H56" s="4"/>
    </row>
    <row r="57" spans="1:8">
      <c r="A57" s="4">
        <v>15</v>
      </c>
      <c r="B57" s="4" t="s">
        <v>72</v>
      </c>
      <c r="C57" s="4" t="s">
        <v>1930</v>
      </c>
      <c r="D57" s="4" t="s">
        <v>74</v>
      </c>
      <c r="E57" s="4" t="s">
        <v>74</v>
      </c>
      <c r="F57" s="4" t="s">
        <v>1296</v>
      </c>
      <c r="G57" s="4"/>
      <c r="H57" s="4"/>
    </row>
    <row r="58" spans="1:8">
      <c r="A58" s="4">
        <v>15</v>
      </c>
      <c r="B58" s="4" t="s">
        <v>72</v>
      </c>
      <c r="C58" s="4" t="s">
        <v>1936</v>
      </c>
      <c r="D58" s="4" t="s">
        <v>33</v>
      </c>
      <c r="E58" s="4" t="s">
        <v>170</v>
      </c>
      <c r="F58" s="4" t="s">
        <v>1275</v>
      </c>
      <c r="G58" s="4"/>
      <c r="H58" s="4"/>
    </row>
    <row r="59" spans="1:8" ht="27.6">
      <c r="A59" s="4">
        <v>16</v>
      </c>
      <c r="B59" s="4" t="s">
        <v>75</v>
      </c>
      <c r="C59" s="4" t="s">
        <v>1925</v>
      </c>
      <c r="D59" s="4" t="s">
        <v>76</v>
      </c>
      <c r="E59" s="4" t="s">
        <v>1990</v>
      </c>
      <c r="F59" s="4" t="s">
        <v>1297</v>
      </c>
      <c r="G59" s="4" t="s">
        <v>79</v>
      </c>
      <c r="H59" s="4" t="s">
        <v>1927</v>
      </c>
    </row>
    <row r="60" spans="1:8">
      <c r="A60" s="4">
        <v>16</v>
      </c>
      <c r="B60" s="4" t="s">
        <v>75</v>
      </c>
      <c r="C60" s="4" t="s">
        <v>1925</v>
      </c>
      <c r="D60" s="4" t="s">
        <v>76</v>
      </c>
      <c r="E60" s="4" t="s">
        <v>1991</v>
      </c>
      <c r="F60" s="4" t="s">
        <v>1992</v>
      </c>
      <c r="G60" s="4"/>
      <c r="H60" s="4"/>
    </row>
    <row r="61" spans="1:8">
      <c r="A61" s="4">
        <v>16</v>
      </c>
      <c r="B61" s="4" t="s">
        <v>75</v>
      </c>
      <c r="C61" s="4" t="s">
        <v>1930</v>
      </c>
      <c r="D61" s="4" t="s">
        <v>77</v>
      </c>
      <c r="E61" s="4" t="s">
        <v>77</v>
      </c>
      <c r="F61" s="4" t="s">
        <v>1298</v>
      </c>
      <c r="G61" s="4"/>
      <c r="H61" s="4"/>
    </row>
    <row r="62" spans="1:8">
      <c r="A62" s="4">
        <v>16</v>
      </c>
      <c r="B62" s="4" t="s">
        <v>75</v>
      </c>
      <c r="C62" s="4" t="s">
        <v>1936</v>
      </c>
      <c r="D62" s="4" t="s">
        <v>78</v>
      </c>
      <c r="E62" s="4" t="s">
        <v>1015</v>
      </c>
      <c r="F62" s="4" t="s">
        <v>1299</v>
      </c>
      <c r="G62" s="4"/>
      <c r="H62" s="4"/>
    </row>
    <row r="63" spans="1:8" ht="27.6">
      <c r="A63" s="4">
        <v>17</v>
      </c>
      <c r="B63" s="4" t="s">
        <v>81</v>
      </c>
      <c r="C63" s="4" t="s">
        <v>1925</v>
      </c>
      <c r="D63" s="4" t="s">
        <v>82</v>
      </c>
      <c r="E63" s="4" t="s">
        <v>1993</v>
      </c>
      <c r="F63" s="4" t="s">
        <v>1300</v>
      </c>
      <c r="G63" s="4" t="s">
        <v>79</v>
      </c>
      <c r="H63" s="4" t="s">
        <v>1927</v>
      </c>
    </row>
    <row r="64" spans="1:8">
      <c r="A64" s="4">
        <v>17</v>
      </c>
      <c r="B64" s="4" t="s">
        <v>81</v>
      </c>
      <c r="C64" s="4" t="s">
        <v>1925</v>
      </c>
      <c r="D64" s="4" t="s">
        <v>82</v>
      </c>
      <c r="E64" s="4" t="s">
        <v>1994</v>
      </c>
      <c r="F64" s="4" t="s">
        <v>1995</v>
      </c>
      <c r="G64" s="4"/>
      <c r="H64" s="4"/>
    </row>
    <row r="65" spans="1:8">
      <c r="A65" s="4">
        <v>17</v>
      </c>
      <c r="B65" s="4" t="s">
        <v>81</v>
      </c>
      <c r="C65" s="4" t="s">
        <v>1925</v>
      </c>
      <c r="D65" s="4" t="s">
        <v>82</v>
      </c>
      <c r="E65" s="4" t="s">
        <v>1996</v>
      </c>
      <c r="F65" s="4" t="s">
        <v>1997</v>
      </c>
      <c r="G65" s="4"/>
      <c r="H65" s="4"/>
    </row>
    <row r="66" spans="1:8">
      <c r="A66" s="4">
        <v>17</v>
      </c>
      <c r="B66" s="4" t="s">
        <v>81</v>
      </c>
      <c r="C66" s="4" t="s">
        <v>1930</v>
      </c>
      <c r="D66" s="4" t="s">
        <v>83</v>
      </c>
      <c r="E66" s="4" t="s">
        <v>83</v>
      </c>
      <c r="F66" s="4" t="s">
        <v>1301</v>
      </c>
      <c r="G66" s="4"/>
      <c r="H66" s="4"/>
    </row>
    <row r="67" spans="1:8">
      <c r="A67" s="4">
        <v>17</v>
      </c>
      <c r="B67" s="4" t="s">
        <v>81</v>
      </c>
      <c r="C67" s="4" t="s">
        <v>1936</v>
      </c>
      <c r="D67" s="4" t="s">
        <v>78</v>
      </c>
      <c r="E67" s="4" t="s">
        <v>1015</v>
      </c>
      <c r="F67" s="4" t="s">
        <v>1299</v>
      </c>
      <c r="G67" s="4"/>
      <c r="H67" s="4"/>
    </row>
    <row r="68" spans="1:8" ht="27.6">
      <c r="A68" s="4">
        <v>18</v>
      </c>
      <c r="B68" s="4" t="s">
        <v>84</v>
      </c>
      <c r="C68" s="4" t="s">
        <v>1925</v>
      </c>
      <c r="D68" s="4" t="s">
        <v>85</v>
      </c>
      <c r="E68" s="4" t="s">
        <v>1998</v>
      </c>
      <c r="F68" s="4" t="s">
        <v>1302</v>
      </c>
      <c r="G68" s="4" t="s">
        <v>88</v>
      </c>
      <c r="H68" s="4" t="s">
        <v>1927</v>
      </c>
    </row>
    <row r="69" spans="1:8">
      <c r="A69" s="4">
        <v>18</v>
      </c>
      <c r="B69" s="4" t="s">
        <v>84</v>
      </c>
      <c r="C69" s="4" t="s">
        <v>1925</v>
      </c>
      <c r="D69" s="4" t="s">
        <v>85</v>
      </c>
      <c r="E69" s="4" t="s">
        <v>1999</v>
      </c>
      <c r="F69" s="4" t="s">
        <v>2000</v>
      </c>
      <c r="G69" s="4"/>
      <c r="H69" s="4"/>
    </row>
    <row r="70" spans="1:8">
      <c r="A70" s="4">
        <v>18</v>
      </c>
      <c r="B70" s="4" t="s">
        <v>84</v>
      </c>
      <c r="C70" s="4" t="s">
        <v>1930</v>
      </c>
      <c r="D70" s="4" t="s">
        <v>86</v>
      </c>
      <c r="E70" s="4" t="s">
        <v>86</v>
      </c>
      <c r="F70" s="4" t="s">
        <v>1303</v>
      </c>
      <c r="G70" s="4"/>
      <c r="H70" s="4"/>
    </row>
    <row r="71" spans="1:8">
      <c r="A71" s="4">
        <v>18</v>
      </c>
      <c r="B71" s="4" t="s">
        <v>84</v>
      </c>
      <c r="C71" s="4" t="s">
        <v>1936</v>
      </c>
      <c r="D71" s="4" t="s">
        <v>87</v>
      </c>
      <c r="E71" s="4" t="s">
        <v>538</v>
      </c>
      <c r="F71" s="4" t="s">
        <v>1304</v>
      </c>
      <c r="G71" s="4"/>
      <c r="H71" s="4"/>
    </row>
    <row r="72" spans="1:8" ht="27.6">
      <c r="A72" s="4">
        <v>19</v>
      </c>
      <c r="B72" s="4" t="s">
        <v>91</v>
      </c>
      <c r="C72" s="4" t="s">
        <v>1925</v>
      </c>
      <c r="D72" s="4" t="s">
        <v>92</v>
      </c>
      <c r="E72" s="4" t="s">
        <v>2001</v>
      </c>
      <c r="F72" s="4" t="s">
        <v>1305</v>
      </c>
      <c r="G72" s="4" t="s">
        <v>39</v>
      </c>
      <c r="H72" s="4" t="s">
        <v>1927</v>
      </c>
    </row>
    <row r="73" spans="1:8">
      <c r="A73" s="4">
        <v>19</v>
      </c>
      <c r="B73" s="4" t="s">
        <v>91</v>
      </c>
      <c r="C73" s="4" t="s">
        <v>1925</v>
      </c>
      <c r="D73" s="4" t="s">
        <v>92</v>
      </c>
      <c r="E73" s="4" t="s">
        <v>2002</v>
      </c>
      <c r="F73" s="4" t="s">
        <v>2003</v>
      </c>
      <c r="G73" s="4"/>
      <c r="H73" s="4"/>
    </row>
    <row r="74" spans="1:8">
      <c r="A74" s="4">
        <v>19</v>
      </c>
      <c r="B74" s="4" t="s">
        <v>91</v>
      </c>
      <c r="C74" s="4" t="s">
        <v>1925</v>
      </c>
      <c r="D74" s="4" t="s">
        <v>92</v>
      </c>
      <c r="E74" s="4" t="s">
        <v>2004</v>
      </c>
      <c r="F74" s="4" t="s">
        <v>2005</v>
      </c>
      <c r="G74" s="4"/>
      <c r="H74" s="4"/>
    </row>
    <row r="75" spans="1:8">
      <c r="A75" s="4">
        <v>19</v>
      </c>
      <c r="B75" s="4" t="s">
        <v>91</v>
      </c>
      <c r="C75" s="4" t="s">
        <v>1930</v>
      </c>
      <c r="D75" s="4" t="s">
        <v>93</v>
      </c>
      <c r="E75" s="4" t="s">
        <v>93</v>
      </c>
      <c r="F75" s="4" t="s">
        <v>1306</v>
      </c>
      <c r="G75" s="4"/>
      <c r="H75" s="4"/>
    </row>
    <row r="76" spans="1:8" ht="27.6">
      <c r="A76" s="4">
        <v>20</v>
      </c>
      <c r="B76" s="4" t="s">
        <v>94</v>
      </c>
      <c r="C76" s="4" t="s">
        <v>1925</v>
      </c>
      <c r="D76" s="4" t="s">
        <v>95</v>
      </c>
      <c r="E76" s="4" t="s">
        <v>2006</v>
      </c>
      <c r="F76" s="4" t="s">
        <v>1307</v>
      </c>
      <c r="G76" s="4" t="s">
        <v>39</v>
      </c>
      <c r="H76" s="4" t="s">
        <v>1927</v>
      </c>
    </row>
    <row r="77" spans="1:8">
      <c r="A77" s="4">
        <v>20</v>
      </c>
      <c r="B77" s="4" t="s">
        <v>94</v>
      </c>
      <c r="C77" s="4" t="s">
        <v>1925</v>
      </c>
      <c r="D77" s="4" t="s">
        <v>95</v>
      </c>
      <c r="E77" s="4" t="s">
        <v>2007</v>
      </c>
      <c r="F77" s="4" t="s">
        <v>2008</v>
      </c>
      <c r="G77" s="4"/>
      <c r="H77" s="4"/>
    </row>
    <row r="78" spans="1:8">
      <c r="A78" s="4">
        <v>20</v>
      </c>
      <c r="B78" s="4" t="s">
        <v>94</v>
      </c>
      <c r="C78" s="4" t="s">
        <v>1930</v>
      </c>
      <c r="D78" s="4" t="s">
        <v>96</v>
      </c>
      <c r="E78" s="4" t="s">
        <v>96</v>
      </c>
      <c r="F78" s="4" t="s">
        <v>1308</v>
      </c>
      <c r="G78" s="4"/>
      <c r="H78" s="4"/>
    </row>
    <row r="79" spans="1:8">
      <c r="A79" s="4">
        <v>20</v>
      </c>
      <c r="B79" s="4" t="s">
        <v>94</v>
      </c>
      <c r="C79" s="4" t="s">
        <v>1936</v>
      </c>
      <c r="D79" s="4" t="s">
        <v>97</v>
      </c>
      <c r="E79" s="4" t="s">
        <v>959</v>
      </c>
      <c r="F79" s="4" t="s">
        <v>1309</v>
      </c>
      <c r="G79" s="4"/>
      <c r="H79" s="4"/>
    </row>
    <row r="80" spans="1:8" ht="27.6">
      <c r="A80" s="4">
        <v>21</v>
      </c>
      <c r="B80" s="4" t="s">
        <v>98</v>
      </c>
      <c r="C80" s="4" t="s">
        <v>1925</v>
      </c>
      <c r="D80" s="4" t="s">
        <v>99</v>
      </c>
      <c r="E80" s="4" t="s">
        <v>2009</v>
      </c>
      <c r="F80" s="4" t="s">
        <v>1310</v>
      </c>
      <c r="G80" s="4" t="s">
        <v>101</v>
      </c>
      <c r="H80" s="4" t="s">
        <v>1927</v>
      </c>
    </row>
    <row r="81" spans="1:8">
      <c r="A81" s="4">
        <v>21</v>
      </c>
      <c r="B81" s="4" t="s">
        <v>98</v>
      </c>
      <c r="C81" s="4" t="s">
        <v>1925</v>
      </c>
      <c r="D81" s="4" t="s">
        <v>99</v>
      </c>
      <c r="E81" s="4" t="s">
        <v>2010</v>
      </c>
      <c r="F81" s="4" t="s">
        <v>2011</v>
      </c>
      <c r="G81" s="4"/>
      <c r="H81" s="4"/>
    </row>
    <row r="82" spans="1:8">
      <c r="A82" s="4">
        <v>21</v>
      </c>
      <c r="B82" s="4" t="s">
        <v>98</v>
      </c>
      <c r="C82" s="4" t="s">
        <v>1925</v>
      </c>
      <c r="D82" s="4" t="s">
        <v>99</v>
      </c>
      <c r="E82" s="4" t="s">
        <v>2012</v>
      </c>
      <c r="F82" s="4" t="s">
        <v>2013</v>
      </c>
      <c r="G82" s="4"/>
      <c r="H82" s="4"/>
    </row>
    <row r="83" spans="1:8">
      <c r="A83" s="4">
        <v>21</v>
      </c>
      <c r="B83" s="4" t="s">
        <v>98</v>
      </c>
      <c r="C83" s="4" t="s">
        <v>1930</v>
      </c>
      <c r="D83" s="4" t="s">
        <v>100</v>
      </c>
      <c r="E83" s="4" t="s">
        <v>105</v>
      </c>
      <c r="F83" s="4" t="s">
        <v>1311</v>
      </c>
      <c r="G83" s="4"/>
      <c r="H83" s="4"/>
    </row>
    <row r="84" spans="1:8" ht="27.6">
      <c r="A84" s="4">
        <v>22</v>
      </c>
      <c r="B84" s="4" t="s">
        <v>103</v>
      </c>
      <c r="C84" s="4" t="s">
        <v>1925</v>
      </c>
      <c r="D84" s="4" t="s">
        <v>104</v>
      </c>
      <c r="E84" s="4" t="s">
        <v>2014</v>
      </c>
      <c r="F84" s="4" t="s">
        <v>1312</v>
      </c>
      <c r="G84" s="4" t="s">
        <v>101</v>
      </c>
      <c r="H84" s="4" t="s">
        <v>1927</v>
      </c>
    </row>
    <row r="85" spans="1:8">
      <c r="A85" s="4">
        <v>22</v>
      </c>
      <c r="B85" s="4" t="s">
        <v>103</v>
      </c>
      <c r="C85" s="4" t="s">
        <v>1925</v>
      </c>
      <c r="D85" s="4" t="s">
        <v>104</v>
      </c>
      <c r="E85" s="4" t="s">
        <v>2015</v>
      </c>
      <c r="F85" s="4" t="s">
        <v>2016</v>
      </c>
      <c r="G85" s="4"/>
      <c r="H85" s="4"/>
    </row>
    <row r="86" spans="1:8">
      <c r="A86" s="4">
        <v>22</v>
      </c>
      <c r="B86" s="4" t="s">
        <v>103</v>
      </c>
      <c r="C86" s="4" t="s">
        <v>1930</v>
      </c>
      <c r="D86" s="4" t="s">
        <v>105</v>
      </c>
      <c r="E86" s="4" t="s">
        <v>105</v>
      </c>
      <c r="F86" s="4" t="s">
        <v>1311</v>
      </c>
      <c r="G86" s="4"/>
      <c r="H86" s="4"/>
    </row>
    <row r="87" spans="1:8" ht="27.6">
      <c r="A87" s="4">
        <v>23</v>
      </c>
      <c r="B87" s="4" t="s">
        <v>106</v>
      </c>
      <c r="C87" s="4" t="s">
        <v>1925</v>
      </c>
      <c r="D87" s="4" t="s">
        <v>107</v>
      </c>
      <c r="E87" s="4" t="s">
        <v>2017</v>
      </c>
      <c r="F87" s="4" t="s">
        <v>1313</v>
      </c>
      <c r="G87" s="4" t="s">
        <v>101</v>
      </c>
      <c r="H87" s="4" t="s">
        <v>1927</v>
      </c>
    </row>
    <row r="88" spans="1:8">
      <c r="A88" s="4">
        <v>23</v>
      </c>
      <c r="B88" s="4" t="s">
        <v>106</v>
      </c>
      <c r="C88" s="4" t="s">
        <v>1925</v>
      </c>
      <c r="D88" s="4" t="s">
        <v>107</v>
      </c>
      <c r="E88" s="4" t="s">
        <v>2018</v>
      </c>
      <c r="F88" s="4" t="s">
        <v>2019</v>
      </c>
      <c r="G88" s="4"/>
      <c r="H88" s="4"/>
    </row>
    <row r="89" spans="1:8">
      <c r="A89" s="4">
        <v>23</v>
      </c>
      <c r="B89" s="4" t="s">
        <v>106</v>
      </c>
      <c r="C89" s="4" t="s">
        <v>1925</v>
      </c>
      <c r="D89" s="4" t="s">
        <v>107</v>
      </c>
      <c r="E89" s="4" t="s">
        <v>2020</v>
      </c>
      <c r="F89" s="4" t="s">
        <v>2021</v>
      </c>
      <c r="G89" s="4"/>
      <c r="H89" s="4"/>
    </row>
    <row r="90" spans="1:8">
      <c r="A90" s="4">
        <v>23</v>
      </c>
      <c r="B90" s="4" t="s">
        <v>106</v>
      </c>
      <c r="C90" s="4" t="s">
        <v>1930</v>
      </c>
      <c r="D90" s="4" t="s">
        <v>108</v>
      </c>
      <c r="E90" s="4" t="s">
        <v>108</v>
      </c>
      <c r="F90" s="4" t="s">
        <v>1314</v>
      </c>
      <c r="G90" s="4"/>
      <c r="H90" s="4"/>
    </row>
    <row r="91" spans="1:8" ht="27.6">
      <c r="A91" s="4">
        <v>24</v>
      </c>
      <c r="B91" s="4" t="s">
        <v>109</v>
      </c>
      <c r="C91" s="4" t="s">
        <v>1925</v>
      </c>
      <c r="D91" s="4" t="s">
        <v>110</v>
      </c>
      <c r="E91" s="4" t="s">
        <v>2022</v>
      </c>
      <c r="F91" s="4" t="s">
        <v>1315</v>
      </c>
      <c r="G91" s="4" t="s">
        <v>101</v>
      </c>
      <c r="H91" s="4" t="s">
        <v>1927</v>
      </c>
    </row>
    <row r="92" spans="1:8">
      <c r="A92" s="4">
        <v>24</v>
      </c>
      <c r="B92" s="4" t="s">
        <v>109</v>
      </c>
      <c r="C92" s="4" t="s">
        <v>1925</v>
      </c>
      <c r="D92" s="4" t="s">
        <v>110</v>
      </c>
      <c r="E92" s="4" t="s">
        <v>2023</v>
      </c>
      <c r="F92" s="4" t="s">
        <v>2024</v>
      </c>
      <c r="G92" s="4"/>
      <c r="H92" s="4"/>
    </row>
    <row r="93" spans="1:8">
      <c r="A93" s="4">
        <v>24</v>
      </c>
      <c r="B93" s="4" t="s">
        <v>109</v>
      </c>
      <c r="C93" s="4" t="s">
        <v>1925</v>
      </c>
      <c r="D93" s="4" t="s">
        <v>110</v>
      </c>
      <c r="E93" s="4" t="s">
        <v>2025</v>
      </c>
      <c r="F93" s="4" t="s">
        <v>2026</v>
      </c>
      <c r="G93" s="4"/>
      <c r="H93" s="4"/>
    </row>
    <row r="94" spans="1:8">
      <c r="A94" s="4">
        <v>24</v>
      </c>
      <c r="B94" s="4" t="s">
        <v>109</v>
      </c>
      <c r="C94" s="4" t="s">
        <v>1930</v>
      </c>
      <c r="D94" s="4" t="s">
        <v>111</v>
      </c>
      <c r="E94" s="4" t="s">
        <v>111</v>
      </c>
      <c r="F94" s="4" t="s">
        <v>1316</v>
      </c>
      <c r="G94" s="4"/>
      <c r="H94" s="4"/>
    </row>
    <row r="95" spans="1:8" ht="27.6">
      <c r="A95" s="4">
        <v>25</v>
      </c>
      <c r="B95" s="4" t="s">
        <v>112</v>
      </c>
      <c r="C95" s="4" t="s">
        <v>1925</v>
      </c>
      <c r="D95" s="4" t="s">
        <v>113</v>
      </c>
      <c r="E95" s="4" t="s">
        <v>2027</v>
      </c>
      <c r="F95" s="4" t="s">
        <v>1317</v>
      </c>
      <c r="G95" s="4" t="s">
        <v>56</v>
      </c>
      <c r="H95" s="4" t="s">
        <v>1927</v>
      </c>
    </row>
    <row r="96" spans="1:8">
      <c r="A96" s="4">
        <v>25</v>
      </c>
      <c r="B96" s="4" t="s">
        <v>112</v>
      </c>
      <c r="C96" s="4" t="s">
        <v>1925</v>
      </c>
      <c r="D96" s="4" t="s">
        <v>113</v>
      </c>
      <c r="E96" s="4" t="s">
        <v>2028</v>
      </c>
      <c r="F96" s="4" t="s">
        <v>2029</v>
      </c>
      <c r="G96" s="4"/>
      <c r="H96" s="4"/>
    </row>
    <row r="97" spans="1:8">
      <c r="A97" s="4">
        <v>25</v>
      </c>
      <c r="B97" s="4" t="s">
        <v>112</v>
      </c>
      <c r="C97" s="4" t="s">
        <v>1930</v>
      </c>
      <c r="D97" s="4" t="s">
        <v>114</v>
      </c>
      <c r="E97" s="4" t="s">
        <v>114</v>
      </c>
      <c r="F97" s="4" t="s">
        <v>1318</v>
      </c>
      <c r="G97" s="4"/>
      <c r="H97" s="4"/>
    </row>
    <row r="98" spans="1:8" ht="27.6">
      <c r="A98" s="4">
        <v>26</v>
      </c>
      <c r="B98" s="4" t="s">
        <v>115</v>
      </c>
      <c r="C98" s="4" t="s">
        <v>1925</v>
      </c>
      <c r="D98" s="4" t="s">
        <v>116</v>
      </c>
      <c r="E98" s="4" t="s">
        <v>2030</v>
      </c>
      <c r="F98" s="4" t="s">
        <v>1319</v>
      </c>
      <c r="G98" s="4" t="s">
        <v>101</v>
      </c>
      <c r="H98" s="4" t="s">
        <v>1927</v>
      </c>
    </row>
    <row r="99" spans="1:8">
      <c r="A99" s="4">
        <v>26</v>
      </c>
      <c r="B99" s="4" t="s">
        <v>115</v>
      </c>
      <c r="C99" s="4" t="s">
        <v>1925</v>
      </c>
      <c r="D99" s="4" t="s">
        <v>116</v>
      </c>
      <c r="E99" s="4" t="s">
        <v>2031</v>
      </c>
      <c r="F99" s="4" t="s">
        <v>2032</v>
      </c>
      <c r="G99" s="4"/>
      <c r="H99" s="4"/>
    </row>
    <row r="100" spans="1:8">
      <c r="A100" s="4">
        <v>26</v>
      </c>
      <c r="B100" s="4" t="s">
        <v>115</v>
      </c>
      <c r="C100" s="4" t="s">
        <v>1925</v>
      </c>
      <c r="D100" s="4" t="s">
        <v>116</v>
      </c>
      <c r="E100" s="4" t="s">
        <v>2033</v>
      </c>
      <c r="F100" s="4" t="s">
        <v>2034</v>
      </c>
      <c r="G100" s="4"/>
      <c r="H100" s="4"/>
    </row>
    <row r="101" spans="1:8">
      <c r="A101" s="4">
        <v>26</v>
      </c>
      <c r="B101" s="4" t="s">
        <v>115</v>
      </c>
      <c r="C101" s="4" t="s">
        <v>1930</v>
      </c>
      <c r="D101" s="4" t="s">
        <v>117</v>
      </c>
      <c r="E101" s="4" t="s">
        <v>117</v>
      </c>
      <c r="F101" s="4" t="s">
        <v>1320</v>
      </c>
      <c r="G101" s="4"/>
      <c r="H101" s="4"/>
    </row>
    <row r="102" spans="1:8" ht="27.6">
      <c r="A102" s="4">
        <v>27</v>
      </c>
      <c r="B102" s="4" t="s">
        <v>118</v>
      </c>
      <c r="C102" s="4" t="s">
        <v>1925</v>
      </c>
      <c r="D102" s="4" t="s">
        <v>119</v>
      </c>
      <c r="E102" s="4" t="s">
        <v>2035</v>
      </c>
      <c r="F102" s="4" t="s">
        <v>1321</v>
      </c>
      <c r="G102" s="4" t="s">
        <v>121</v>
      </c>
      <c r="H102" s="4" t="s">
        <v>1927</v>
      </c>
    </row>
    <row r="103" spans="1:8">
      <c r="A103" s="4">
        <v>27</v>
      </c>
      <c r="B103" s="4" t="s">
        <v>118</v>
      </c>
      <c r="C103" s="4" t="s">
        <v>1925</v>
      </c>
      <c r="D103" s="4" t="s">
        <v>119</v>
      </c>
      <c r="E103" s="4" t="s">
        <v>2036</v>
      </c>
      <c r="F103" s="4" t="s">
        <v>2037</v>
      </c>
      <c r="G103" s="4"/>
      <c r="H103" s="4"/>
    </row>
    <row r="104" spans="1:8">
      <c r="A104" s="4">
        <v>27</v>
      </c>
      <c r="B104" s="4" t="s">
        <v>118</v>
      </c>
      <c r="C104" s="4" t="s">
        <v>1930</v>
      </c>
      <c r="D104" s="4" t="s">
        <v>120</v>
      </c>
      <c r="E104" s="4" t="s">
        <v>303</v>
      </c>
      <c r="F104" s="4" t="s">
        <v>1322</v>
      </c>
      <c r="G104" s="4"/>
      <c r="H104" s="4"/>
    </row>
    <row r="105" spans="1:8" ht="27.6">
      <c r="A105" s="4">
        <v>28</v>
      </c>
      <c r="B105" s="4" t="s">
        <v>124</v>
      </c>
      <c r="C105" s="4" t="s">
        <v>1925</v>
      </c>
      <c r="D105" s="4" t="s">
        <v>125</v>
      </c>
      <c r="E105" s="4" t="s">
        <v>2038</v>
      </c>
      <c r="F105" s="4" t="s">
        <v>1323</v>
      </c>
      <c r="G105" s="4" t="s">
        <v>34</v>
      </c>
      <c r="H105" s="4" t="s">
        <v>1927</v>
      </c>
    </row>
    <row r="106" spans="1:8">
      <c r="A106" s="4">
        <v>28</v>
      </c>
      <c r="B106" s="4" t="s">
        <v>124</v>
      </c>
      <c r="C106" s="4" t="s">
        <v>1925</v>
      </c>
      <c r="D106" s="4" t="s">
        <v>125</v>
      </c>
      <c r="E106" s="4" t="s">
        <v>2039</v>
      </c>
      <c r="F106" s="4" t="s">
        <v>2040</v>
      </c>
      <c r="G106" s="4"/>
      <c r="H106" s="4"/>
    </row>
    <row r="107" spans="1:8">
      <c r="A107" s="4">
        <v>28</v>
      </c>
      <c r="B107" s="4" t="s">
        <v>124</v>
      </c>
      <c r="C107" s="4" t="s">
        <v>1925</v>
      </c>
      <c r="D107" s="4" t="s">
        <v>125</v>
      </c>
      <c r="E107" s="4" t="s">
        <v>2041</v>
      </c>
      <c r="F107" s="4" t="s">
        <v>2042</v>
      </c>
      <c r="G107" s="4"/>
      <c r="H107" s="4"/>
    </row>
    <row r="108" spans="1:8">
      <c r="A108" s="4">
        <v>28</v>
      </c>
      <c r="B108" s="4" t="s">
        <v>124</v>
      </c>
      <c r="C108" s="4" t="s">
        <v>1930</v>
      </c>
      <c r="D108" s="4" t="s">
        <v>33</v>
      </c>
      <c r="E108" s="4" t="s">
        <v>170</v>
      </c>
      <c r="F108" s="4" t="s">
        <v>1275</v>
      </c>
      <c r="G108" s="4"/>
      <c r="H108" s="4"/>
    </row>
    <row r="109" spans="1:8" ht="27.6">
      <c r="A109" s="4">
        <v>29</v>
      </c>
      <c r="B109" s="4" t="s">
        <v>126</v>
      </c>
      <c r="C109" s="4" t="s">
        <v>1925</v>
      </c>
      <c r="D109" s="4" t="s">
        <v>127</v>
      </c>
      <c r="E109" s="4" t="s">
        <v>2043</v>
      </c>
      <c r="F109" s="4" t="s">
        <v>1324</v>
      </c>
      <c r="G109" s="4" t="s">
        <v>34</v>
      </c>
      <c r="H109" s="4" t="s">
        <v>1927</v>
      </c>
    </row>
    <row r="110" spans="1:8">
      <c r="A110" s="4">
        <v>29</v>
      </c>
      <c r="B110" s="4" t="s">
        <v>126</v>
      </c>
      <c r="C110" s="4" t="s">
        <v>1925</v>
      </c>
      <c r="D110" s="4" t="s">
        <v>127</v>
      </c>
      <c r="E110" s="4" t="s">
        <v>2044</v>
      </c>
      <c r="F110" s="4" t="s">
        <v>2045</v>
      </c>
      <c r="G110" s="4"/>
      <c r="H110" s="4"/>
    </row>
    <row r="111" spans="1:8">
      <c r="A111" s="4">
        <v>29</v>
      </c>
      <c r="B111" s="4" t="s">
        <v>126</v>
      </c>
      <c r="C111" s="4" t="s">
        <v>1930</v>
      </c>
      <c r="D111" s="4" t="s">
        <v>33</v>
      </c>
      <c r="E111" s="4" t="s">
        <v>170</v>
      </c>
      <c r="F111" s="4" t="s">
        <v>1275</v>
      </c>
      <c r="G111" s="4"/>
      <c r="H111" s="4"/>
    </row>
    <row r="112" spans="1:8" ht="27.6">
      <c r="A112" s="4">
        <v>30</v>
      </c>
      <c r="B112" s="4" t="s">
        <v>128</v>
      </c>
      <c r="C112" s="4" t="s">
        <v>1925</v>
      </c>
      <c r="D112" s="4" t="s">
        <v>129</v>
      </c>
      <c r="E112" s="4" t="s">
        <v>2046</v>
      </c>
      <c r="F112" s="4" t="s">
        <v>1325</v>
      </c>
      <c r="G112" s="4" t="s">
        <v>131</v>
      </c>
      <c r="H112" s="4" t="s">
        <v>1927</v>
      </c>
    </row>
    <row r="113" spans="1:8">
      <c r="A113" s="4">
        <v>30</v>
      </c>
      <c r="B113" s="4" t="s">
        <v>128</v>
      </c>
      <c r="C113" s="4" t="s">
        <v>1925</v>
      </c>
      <c r="D113" s="4" t="s">
        <v>129</v>
      </c>
      <c r="E113" s="4" t="s">
        <v>2047</v>
      </c>
      <c r="F113" s="4" t="s">
        <v>2048</v>
      </c>
      <c r="G113" s="4"/>
      <c r="H113" s="4"/>
    </row>
    <row r="114" spans="1:8">
      <c r="A114" s="4">
        <v>30</v>
      </c>
      <c r="B114" s="4" t="s">
        <v>128</v>
      </c>
      <c r="C114" s="4" t="s">
        <v>1925</v>
      </c>
      <c r="D114" s="4" t="s">
        <v>129</v>
      </c>
      <c r="E114" s="4" t="s">
        <v>2049</v>
      </c>
      <c r="F114" s="4" t="s">
        <v>2050</v>
      </c>
      <c r="G114" s="4"/>
      <c r="H114" s="4"/>
    </row>
    <row r="115" spans="1:8">
      <c r="A115" s="4">
        <v>30</v>
      </c>
      <c r="B115" s="4" t="s">
        <v>128</v>
      </c>
      <c r="C115" s="4" t="s">
        <v>1930</v>
      </c>
      <c r="D115" s="4" t="s">
        <v>130</v>
      </c>
      <c r="E115" s="4" t="s">
        <v>1092</v>
      </c>
      <c r="F115" s="4" t="s">
        <v>1326</v>
      </c>
      <c r="G115" s="4"/>
      <c r="H115" s="4"/>
    </row>
    <row r="116" spans="1:8" ht="27.6">
      <c r="A116" s="4">
        <v>31</v>
      </c>
      <c r="B116" s="4" t="s">
        <v>133</v>
      </c>
      <c r="C116" s="4" t="s">
        <v>1925</v>
      </c>
      <c r="D116" s="4" t="s">
        <v>134</v>
      </c>
      <c r="E116" s="4" t="s">
        <v>2051</v>
      </c>
      <c r="F116" s="4" t="s">
        <v>1327</v>
      </c>
      <c r="G116" s="4" t="s">
        <v>131</v>
      </c>
      <c r="H116" s="4" t="s">
        <v>1927</v>
      </c>
    </row>
    <row r="117" spans="1:8">
      <c r="A117" s="4">
        <v>31</v>
      </c>
      <c r="B117" s="4" t="s">
        <v>133</v>
      </c>
      <c r="C117" s="4" t="s">
        <v>1925</v>
      </c>
      <c r="D117" s="4" t="s">
        <v>134</v>
      </c>
      <c r="E117" s="4" t="s">
        <v>2052</v>
      </c>
      <c r="F117" s="4" t="s">
        <v>2053</v>
      </c>
      <c r="G117" s="4"/>
      <c r="H117" s="4"/>
    </row>
    <row r="118" spans="1:8">
      <c r="A118" s="4">
        <v>31</v>
      </c>
      <c r="B118" s="4" t="s">
        <v>133</v>
      </c>
      <c r="C118" s="4" t="s">
        <v>1930</v>
      </c>
      <c r="D118" s="4" t="s">
        <v>130</v>
      </c>
      <c r="E118" s="4" t="s">
        <v>1092</v>
      </c>
      <c r="F118" s="4" t="s">
        <v>1326</v>
      </c>
      <c r="G118" s="4"/>
      <c r="H118" s="4"/>
    </row>
    <row r="119" spans="1:8" ht="27.6">
      <c r="A119" s="4">
        <v>32</v>
      </c>
      <c r="B119" s="4" t="s">
        <v>135</v>
      </c>
      <c r="C119" s="4" t="s">
        <v>1925</v>
      </c>
      <c r="D119" s="4" t="s">
        <v>136</v>
      </c>
      <c r="E119" s="4" t="s">
        <v>2054</v>
      </c>
      <c r="F119" s="4" t="s">
        <v>1328</v>
      </c>
      <c r="G119" s="4" t="s">
        <v>131</v>
      </c>
      <c r="H119" s="4" t="s">
        <v>1927</v>
      </c>
    </row>
    <row r="120" spans="1:8">
      <c r="A120" s="4">
        <v>32</v>
      </c>
      <c r="B120" s="4" t="s">
        <v>135</v>
      </c>
      <c r="C120" s="4" t="s">
        <v>1925</v>
      </c>
      <c r="D120" s="4" t="s">
        <v>136</v>
      </c>
      <c r="E120" s="4" t="s">
        <v>2055</v>
      </c>
      <c r="F120" s="4" t="s">
        <v>2056</v>
      </c>
      <c r="G120" s="4"/>
      <c r="H120" s="4"/>
    </row>
    <row r="121" spans="1:8">
      <c r="A121" s="4">
        <v>32</v>
      </c>
      <c r="B121" s="4" t="s">
        <v>135</v>
      </c>
      <c r="C121" s="4" t="s">
        <v>1925</v>
      </c>
      <c r="D121" s="4" t="s">
        <v>136</v>
      </c>
      <c r="E121" s="4" t="s">
        <v>2057</v>
      </c>
      <c r="F121" s="4" t="s">
        <v>2058</v>
      </c>
      <c r="G121" s="4"/>
      <c r="H121" s="4"/>
    </row>
    <row r="122" spans="1:8">
      <c r="A122" s="4">
        <v>32</v>
      </c>
      <c r="B122" s="4" t="s">
        <v>135</v>
      </c>
      <c r="C122" s="4" t="s">
        <v>1930</v>
      </c>
      <c r="D122" s="4" t="s">
        <v>130</v>
      </c>
      <c r="E122" s="4" t="s">
        <v>1092</v>
      </c>
      <c r="F122" s="4" t="s">
        <v>1326</v>
      </c>
      <c r="G122" s="4"/>
      <c r="H122" s="4"/>
    </row>
    <row r="123" spans="1:8" ht="27.6">
      <c r="A123" s="4">
        <v>33</v>
      </c>
      <c r="B123" s="4" t="s">
        <v>137</v>
      </c>
      <c r="C123" s="4" t="s">
        <v>1925</v>
      </c>
      <c r="D123" s="4" t="s">
        <v>138</v>
      </c>
      <c r="E123" s="4" t="s">
        <v>2059</v>
      </c>
      <c r="F123" s="4" t="s">
        <v>1329</v>
      </c>
      <c r="G123" s="4" t="s">
        <v>34</v>
      </c>
      <c r="H123" s="4" t="s">
        <v>1927</v>
      </c>
    </row>
    <row r="124" spans="1:8">
      <c r="A124" s="4">
        <v>33</v>
      </c>
      <c r="B124" s="4" t="s">
        <v>137</v>
      </c>
      <c r="C124" s="4" t="s">
        <v>1925</v>
      </c>
      <c r="D124" s="4" t="s">
        <v>138</v>
      </c>
      <c r="E124" s="4" t="s">
        <v>2060</v>
      </c>
      <c r="F124" s="4" t="s">
        <v>2061</v>
      </c>
      <c r="G124" s="4"/>
      <c r="H124" s="4"/>
    </row>
    <row r="125" spans="1:8">
      <c r="A125" s="4">
        <v>33</v>
      </c>
      <c r="B125" s="4" t="s">
        <v>137</v>
      </c>
      <c r="C125" s="4" t="s">
        <v>1930</v>
      </c>
      <c r="D125" s="4" t="s">
        <v>139</v>
      </c>
      <c r="E125" s="4" t="s">
        <v>139</v>
      </c>
      <c r="F125" s="4" t="s">
        <v>1330</v>
      </c>
      <c r="G125" s="4"/>
      <c r="H125" s="4"/>
    </row>
    <row r="126" spans="1:8" ht="27.6">
      <c r="A126" s="4">
        <v>34</v>
      </c>
      <c r="B126" s="4" t="s">
        <v>140</v>
      </c>
      <c r="C126" s="4" t="s">
        <v>1925</v>
      </c>
      <c r="D126" s="4" t="s">
        <v>141</v>
      </c>
      <c r="E126" s="4" t="s">
        <v>2062</v>
      </c>
      <c r="F126" s="4" t="s">
        <v>1331</v>
      </c>
      <c r="G126" s="4" t="s">
        <v>34</v>
      </c>
      <c r="H126" s="4" t="s">
        <v>1927</v>
      </c>
    </row>
    <row r="127" spans="1:8">
      <c r="A127" s="4">
        <v>34</v>
      </c>
      <c r="B127" s="4" t="s">
        <v>140</v>
      </c>
      <c r="C127" s="4" t="s">
        <v>1925</v>
      </c>
      <c r="D127" s="4" t="s">
        <v>141</v>
      </c>
      <c r="E127" s="4" t="s">
        <v>2063</v>
      </c>
      <c r="F127" s="4" t="s">
        <v>2064</v>
      </c>
      <c r="G127" s="4"/>
      <c r="H127" s="4"/>
    </row>
    <row r="128" spans="1:8">
      <c r="A128" s="4">
        <v>34</v>
      </c>
      <c r="B128" s="4" t="s">
        <v>140</v>
      </c>
      <c r="C128" s="4" t="s">
        <v>1925</v>
      </c>
      <c r="D128" s="4" t="s">
        <v>141</v>
      </c>
      <c r="E128" s="4" t="s">
        <v>2065</v>
      </c>
      <c r="F128" s="4" t="s">
        <v>2066</v>
      </c>
      <c r="G128" s="4"/>
      <c r="H128" s="4"/>
    </row>
    <row r="129" spans="1:8">
      <c r="A129" s="4">
        <v>34</v>
      </c>
      <c r="B129" s="4" t="s">
        <v>140</v>
      </c>
      <c r="C129" s="4" t="s">
        <v>1930</v>
      </c>
      <c r="D129" s="4" t="s">
        <v>142</v>
      </c>
      <c r="E129" s="4" t="s">
        <v>142</v>
      </c>
      <c r="F129" s="4" t="s">
        <v>1332</v>
      </c>
      <c r="G129" s="4"/>
      <c r="H129" s="4"/>
    </row>
    <row r="130" spans="1:8" ht="27.6">
      <c r="A130" s="4">
        <v>35</v>
      </c>
      <c r="B130" s="4" t="s">
        <v>143</v>
      </c>
      <c r="C130" s="4" t="s">
        <v>1925</v>
      </c>
      <c r="D130" s="4" t="s">
        <v>144</v>
      </c>
      <c r="E130" s="4" t="s">
        <v>2067</v>
      </c>
      <c r="F130" s="4" t="s">
        <v>1333</v>
      </c>
      <c r="G130" s="4" t="s">
        <v>147</v>
      </c>
      <c r="H130" s="4" t="s">
        <v>1927</v>
      </c>
    </row>
    <row r="131" spans="1:8">
      <c r="A131" s="4">
        <v>35</v>
      </c>
      <c r="B131" s="4" t="s">
        <v>143</v>
      </c>
      <c r="C131" s="4" t="s">
        <v>1925</v>
      </c>
      <c r="D131" s="4" t="s">
        <v>144</v>
      </c>
      <c r="E131" s="4" t="s">
        <v>2068</v>
      </c>
      <c r="F131" s="4" t="s">
        <v>2069</v>
      </c>
      <c r="G131" s="4"/>
      <c r="H131" s="4"/>
    </row>
    <row r="132" spans="1:8">
      <c r="A132" s="4">
        <v>35</v>
      </c>
      <c r="B132" s="4" t="s">
        <v>143</v>
      </c>
      <c r="C132" s="4" t="s">
        <v>1925</v>
      </c>
      <c r="D132" s="4" t="s">
        <v>144</v>
      </c>
      <c r="E132" s="4" t="s">
        <v>2070</v>
      </c>
      <c r="F132" s="4" t="s">
        <v>2071</v>
      </c>
      <c r="G132" s="4"/>
      <c r="H132" s="4"/>
    </row>
    <row r="133" spans="1:8">
      <c r="A133" s="4">
        <v>35</v>
      </c>
      <c r="B133" s="4" t="s">
        <v>143</v>
      </c>
      <c r="C133" s="4" t="s">
        <v>1930</v>
      </c>
      <c r="D133" s="4" t="s">
        <v>145</v>
      </c>
      <c r="E133" s="4" t="s">
        <v>145</v>
      </c>
      <c r="F133" s="4" t="s">
        <v>1334</v>
      </c>
      <c r="G133" s="4"/>
      <c r="H133" s="4"/>
    </row>
    <row r="134" spans="1:8">
      <c r="A134" s="4">
        <v>35</v>
      </c>
      <c r="B134" s="4" t="s">
        <v>143</v>
      </c>
      <c r="C134" s="4" t="s">
        <v>1936</v>
      </c>
      <c r="D134" s="4" t="s">
        <v>146</v>
      </c>
      <c r="E134" s="4" t="s">
        <v>158</v>
      </c>
      <c r="F134" s="4" t="s">
        <v>1335</v>
      </c>
      <c r="G134" s="4"/>
      <c r="H134" s="4"/>
    </row>
    <row r="135" spans="1:8" ht="27.6">
      <c r="A135" s="4">
        <v>36</v>
      </c>
      <c r="B135" s="4" t="s">
        <v>149</v>
      </c>
      <c r="C135" s="4" t="s">
        <v>1925</v>
      </c>
      <c r="D135" s="4" t="s">
        <v>150</v>
      </c>
      <c r="E135" s="4" t="s">
        <v>2072</v>
      </c>
      <c r="F135" s="4" t="s">
        <v>2073</v>
      </c>
      <c r="G135" s="4" t="s">
        <v>56</v>
      </c>
      <c r="H135" s="4" t="s">
        <v>1927</v>
      </c>
    </row>
    <row r="136" spans="1:8">
      <c r="A136" s="4">
        <v>36</v>
      </c>
      <c r="B136" s="4" t="s">
        <v>149</v>
      </c>
      <c r="C136" s="4" t="s">
        <v>1925</v>
      </c>
      <c r="D136" s="4" t="s">
        <v>150</v>
      </c>
      <c r="E136" s="4" t="s">
        <v>2074</v>
      </c>
      <c r="F136" s="4" t="s">
        <v>1336</v>
      </c>
      <c r="G136" s="4"/>
      <c r="H136" s="4"/>
    </row>
    <row r="137" spans="1:8">
      <c r="A137" s="4">
        <v>36</v>
      </c>
      <c r="B137" s="4" t="s">
        <v>149</v>
      </c>
      <c r="C137" s="4" t="s">
        <v>1930</v>
      </c>
      <c r="D137" s="4" t="s">
        <v>151</v>
      </c>
      <c r="E137" s="4" t="s">
        <v>151</v>
      </c>
      <c r="F137" s="4" t="s">
        <v>1286</v>
      </c>
      <c r="G137" s="4"/>
      <c r="H137" s="4"/>
    </row>
    <row r="138" spans="1:8" ht="27.6">
      <c r="A138" s="4">
        <v>37</v>
      </c>
      <c r="B138" s="4" t="s">
        <v>152</v>
      </c>
      <c r="C138" s="4" t="s">
        <v>1925</v>
      </c>
      <c r="D138" s="4" t="s">
        <v>153</v>
      </c>
      <c r="E138" s="4" t="s">
        <v>2075</v>
      </c>
      <c r="F138" s="4" t="s">
        <v>1337</v>
      </c>
      <c r="G138" s="4" t="s">
        <v>56</v>
      </c>
      <c r="H138" s="4" t="s">
        <v>1927</v>
      </c>
    </row>
    <row r="139" spans="1:8">
      <c r="A139" s="4">
        <v>37</v>
      </c>
      <c r="B139" s="4" t="s">
        <v>152</v>
      </c>
      <c r="C139" s="4" t="s">
        <v>1925</v>
      </c>
      <c r="D139" s="4" t="s">
        <v>153</v>
      </c>
      <c r="E139" s="4" t="s">
        <v>2076</v>
      </c>
      <c r="F139" s="4" t="s">
        <v>2077</v>
      </c>
      <c r="G139" s="4"/>
      <c r="H139" s="4"/>
    </row>
    <row r="140" spans="1:8">
      <c r="A140" s="4">
        <v>37</v>
      </c>
      <c r="B140" s="4" t="s">
        <v>152</v>
      </c>
      <c r="C140" s="4" t="s">
        <v>1925</v>
      </c>
      <c r="D140" s="4" t="s">
        <v>153</v>
      </c>
      <c r="E140" s="4" t="s">
        <v>2078</v>
      </c>
      <c r="F140" s="4" t="s">
        <v>2079</v>
      </c>
      <c r="G140" s="4"/>
      <c r="H140" s="4"/>
    </row>
    <row r="141" spans="1:8">
      <c r="A141" s="4">
        <v>37</v>
      </c>
      <c r="B141" s="4" t="s">
        <v>152</v>
      </c>
      <c r="C141" s="4" t="s">
        <v>1930</v>
      </c>
      <c r="D141" s="4" t="s">
        <v>55</v>
      </c>
      <c r="E141" s="4" t="s">
        <v>151</v>
      </c>
      <c r="F141" s="4" t="s">
        <v>1286</v>
      </c>
      <c r="G141" s="4"/>
      <c r="H141" s="4"/>
    </row>
    <row r="142" spans="1:8" ht="27.6">
      <c r="A142" s="4">
        <v>38</v>
      </c>
      <c r="B142" s="4" t="s">
        <v>154</v>
      </c>
      <c r="C142" s="4" t="s">
        <v>1925</v>
      </c>
      <c r="D142" s="4" t="s">
        <v>155</v>
      </c>
      <c r="E142" s="4" t="s">
        <v>2080</v>
      </c>
      <c r="F142" s="4" t="s">
        <v>1338</v>
      </c>
      <c r="G142" s="4" t="s">
        <v>56</v>
      </c>
      <c r="H142" s="4" t="s">
        <v>1927</v>
      </c>
    </row>
    <row r="143" spans="1:8">
      <c r="A143" s="4">
        <v>38</v>
      </c>
      <c r="B143" s="4" t="s">
        <v>154</v>
      </c>
      <c r="C143" s="4" t="s">
        <v>1925</v>
      </c>
      <c r="D143" s="4" t="s">
        <v>155</v>
      </c>
      <c r="E143" s="4" t="s">
        <v>2081</v>
      </c>
      <c r="F143" s="4" t="s">
        <v>2082</v>
      </c>
      <c r="G143" s="4"/>
      <c r="H143" s="4"/>
    </row>
    <row r="144" spans="1:8">
      <c r="A144" s="4">
        <v>38</v>
      </c>
      <c r="B144" s="4" t="s">
        <v>154</v>
      </c>
      <c r="C144" s="4" t="s">
        <v>1930</v>
      </c>
      <c r="D144" s="4" t="s">
        <v>55</v>
      </c>
      <c r="E144" s="4" t="s">
        <v>151</v>
      </c>
      <c r="F144" s="4" t="s">
        <v>1286</v>
      </c>
      <c r="G144" s="4"/>
      <c r="H144" s="4"/>
    </row>
    <row r="145" spans="1:8" ht="27.6">
      <c r="A145" s="4">
        <v>39</v>
      </c>
      <c r="B145" s="4" t="s">
        <v>156</v>
      </c>
      <c r="C145" s="4" t="s">
        <v>1925</v>
      </c>
      <c r="D145" s="4" t="s">
        <v>157</v>
      </c>
      <c r="E145" s="4" t="s">
        <v>2083</v>
      </c>
      <c r="F145" s="4" t="s">
        <v>1339</v>
      </c>
      <c r="G145" s="4" t="s">
        <v>56</v>
      </c>
      <c r="H145" s="4" t="s">
        <v>1927</v>
      </c>
    </row>
    <row r="146" spans="1:8">
      <c r="A146" s="4">
        <v>39</v>
      </c>
      <c r="B146" s="4" t="s">
        <v>156</v>
      </c>
      <c r="C146" s="4" t="s">
        <v>1925</v>
      </c>
      <c r="D146" s="4" t="s">
        <v>157</v>
      </c>
      <c r="E146" s="4" t="s">
        <v>2084</v>
      </c>
      <c r="F146" s="4" t="s">
        <v>2085</v>
      </c>
      <c r="G146" s="4"/>
      <c r="H146" s="4"/>
    </row>
    <row r="147" spans="1:8">
      <c r="A147" s="4">
        <v>39</v>
      </c>
      <c r="B147" s="4" t="s">
        <v>156</v>
      </c>
      <c r="C147" s="4" t="s">
        <v>1925</v>
      </c>
      <c r="D147" s="4" t="s">
        <v>157</v>
      </c>
      <c r="E147" s="4" t="s">
        <v>2086</v>
      </c>
      <c r="F147" s="4" t="s">
        <v>2087</v>
      </c>
      <c r="G147" s="4"/>
      <c r="H147" s="4"/>
    </row>
    <row r="148" spans="1:8">
      <c r="A148" s="4">
        <v>39</v>
      </c>
      <c r="B148" s="4" t="s">
        <v>156</v>
      </c>
      <c r="C148" s="4" t="s">
        <v>1930</v>
      </c>
      <c r="D148" s="4" t="s">
        <v>158</v>
      </c>
      <c r="E148" s="4" t="s">
        <v>158</v>
      </c>
      <c r="F148" s="4" t="s">
        <v>1335</v>
      </c>
      <c r="G148" s="4"/>
      <c r="H148" s="4"/>
    </row>
    <row r="149" spans="1:8" ht="27.6">
      <c r="A149" s="4">
        <v>40</v>
      </c>
      <c r="B149" s="4" t="s">
        <v>159</v>
      </c>
      <c r="C149" s="4" t="s">
        <v>1925</v>
      </c>
      <c r="D149" s="4" t="s">
        <v>160</v>
      </c>
      <c r="E149" s="4" t="s">
        <v>2088</v>
      </c>
      <c r="F149" s="4" t="s">
        <v>1340</v>
      </c>
      <c r="G149" s="4" t="s">
        <v>131</v>
      </c>
      <c r="H149" s="4" t="s">
        <v>1927</v>
      </c>
    </row>
    <row r="150" spans="1:8">
      <c r="A150" s="4">
        <v>40</v>
      </c>
      <c r="B150" s="4" t="s">
        <v>159</v>
      </c>
      <c r="C150" s="4" t="s">
        <v>1925</v>
      </c>
      <c r="D150" s="4" t="s">
        <v>160</v>
      </c>
      <c r="E150" s="4" t="s">
        <v>2089</v>
      </c>
      <c r="F150" s="4" t="s">
        <v>2090</v>
      </c>
      <c r="G150" s="4"/>
      <c r="H150" s="4"/>
    </row>
    <row r="151" spans="1:8">
      <c r="A151" s="4">
        <v>40</v>
      </c>
      <c r="B151" s="4" t="s">
        <v>159</v>
      </c>
      <c r="C151" s="4" t="s">
        <v>1930</v>
      </c>
      <c r="D151" s="4" t="s">
        <v>161</v>
      </c>
      <c r="E151" s="4" t="s">
        <v>161</v>
      </c>
      <c r="F151" s="4" t="s">
        <v>1341</v>
      </c>
      <c r="G151" s="4"/>
      <c r="H151" s="4"/>
    </row>
    <row r="152" spans="1:8">
      <c r="A152" s="4">
        <v>40</v>
      </c>
      <c r="B152" s="4" t="s">
        <v>159</v>
      </c>
      <c r="C152" s="4" t="s">
        <v>1936</v>
      </c>
      <c r="D152" s="4" t="s">
        <v>130</v>
      </c>
      <c r="E152" s="4" t="s">
        <v>1092</v>
      </c>
      <c r="F152" s="4" t="s">
        <v>1326</v>
      </c>
      <c r="G152" s="4"/>
      <c r="H152" s="4"/>
    </row>
    <row r="153" spans="1:8" ht="27.6">
      <c r="A153" s="4">
        <v>41</v>
      </c>
      <c r="B153" s="4" t="s">
        <v>162</v>
      </c>
      <c r="C153" s="4" t="s">
        <v>1925</v>
      </c>
      <c r="D153" s="4" t="s">
        <v>163</v>
      </c>
      <c r="E153" s="4" t="s">
        <v>2091</v>
      </c>
      <c r="F153" s="4" t="s">
        <v>1342</v>
      </c>
      <c r="G153" s="4" t="s">
        <v>166</v>
      </c>
      <c r="H153" s="4" t="s">
        <v>1927</v>
      </c>
    </row>
    <row r="154" spans="1:8">
      <c r="A154" s="4">
        <v>41</v>
      </c>
      <c r="B154" s="4" t="s">
        <v>162</v>
      </c>
      <c r="C154" s="4" t="s">
        <v>1925</v>
      </c>
      <c r="D154" s="4" t="s">
        <v>163</v>
      </c>
      <c r="E154" s="4" t="s">
        <v>2092</v>
      </c>
      <c r="F154" s="4" t="s">
        <v>2093</v>
      </c>
      <c r="G154" s="4"/>
      <c r="H154" s="4"/>
    </row>
    <row r="155" spans="1:8">
      <c r="A155" s="4">
        <v>41</v>
      </c>
      <c r="B155" s="4" t="s">
        <v>162</v>
      </c>
      <c r="C155" s="4" t="s">
        <v>1925</v>
      </c>
      <c r="D155" s="4" t="s">
        <v>163</v>
      </c>
      <c r="E155" s="4" t="s">
        <v>2094</v>
      </c>
      <c r="F155" s="4" t="s">
        <v>2095</v>
      </c>
      <c r="G155" s="4"/>
      <c r="H155" s="4"/>
    </row>
    <row r="156" spans="1:8">
      <c r="A156" s="4">
        <v>41</v>
      </c>
      <c r="B156" s="4" t="s">
        <v>162</v>
      </c>
      <c r="C156" s="4" t="s">
        <v>1930</v>
      </c>
      <c r="D156" s="4" t="s">
        <v>164</v>
      </c>
      <c r="E156" s="4" t="s">
        <v>164</v>
      </c>
      <c r="F156" s="4" t="s">
        <v>1343</v>
      </c>
      <c r="G156" s="4"/>
      <c r="H156" s="4"/>
    </row>
    <row r="157" spans="1:8">
      <c r="A157" s="4">
        <v>41</v>
      </c>
      <c r="B157" s="4" t="s">
        <v>162</v>
      </c>
      <c r="C157" s="4" t="s">
        <v>1936</v>
      </c>
      <c r="D157" s="4" t="s">
        <v>165</v>
      </c>
      <c r="E157" s="4" t="s">
        <v>962</v>
      </c>
      <c r="F157" s="4" t="s">
        <v>1344</v>
      </c>
      <c r="G157" s="4"/>
      <c r="H157" s="4"/>
    </row>
    <row r="158" spans="1:8" ht="27.6">
      <c r="A158" s="4">
        <v>42</v>
      </c>
      <c r="B158" s="4" t="s">
        <v>168</v>
      </c>
      <c r="C158" s="4" t="s">
        <v>1925</v>
      </c>
      <c r="D158" s="4" t="s">
        <v>169</v>
      </c>
      <c r="E158" s="4" t="s">
        <v>2096</v>
      </c>
      <c r="F158" s="4" t="s">
        <v>1345</v>
      </c>
      <c r="G158" s="4" t="s">
        <v>56</v>
      </c>
      <c r="H158" s="4" t="s">
        <v>1927</v>
      </c>
    </row>
    <row r="159" spans="1:8">
      <c r="A159" s="4">
        <v>42</v>
      </c>
      <c r="B159" s="4" t="s">
        <v>168</v>
      </c>
      <c r="C159" s="4" t="s">
        <v>1925</v>
      </c>
      <c r="D159" s="4" t="s">
        <v>169</v>
      </c>
      <c r="E159" s="4" t="s">
        <v>2097</v>
      </c>
      <c r="F159" s="4" t="s">
        <v>2098</v>
      </c>
      <c r="G159" s="4"/>
      <c r="H159" s="4"/>
    </row>
    <row r="160" spans="1:8">
      <c r="A160" s="4">
        <v>42</v>
      </c>
      <c r="B160" s="4" t="s">
        <v>168</v>
      </c>
      <c r="C160" s="4" t="s">
        <v>1930</v>
      </c>
      <c r="D160" s="4" t="s">
        <v>170</v>
      </c>
      <c r="E160" s="4" t="s">
        <v>170</v>
      </c>
      <c r="F160" s="4" t="s">
        <v>1275</v>
      </c>
      <c r="G160" s="4"/>
      <c r="H160" s="4"/>
    </row>
    <row r="161" spans="1:8" ht="27.6">
      <c r="A161" s="4">
        <v>43</v>
      </c>
      <c r="B161" s="4" t="s">
        <v>171</v>
      </c>
      <c r="C161" s="4" t="s">
        <v>1925</v>
      </c>
      <c r="D161" s="4" t="s">
        <v>172</v>
      </c>
      <c r="E161" s="4" t="s">
        <v>2099</v>
      </c>
      <c r="F161" s="4" t="s">
        <v>1346</v>
      </c>
      <c r="G161" s="4" t="s">
        <v>56</v>
      </c>
      <c r="H161" s="4" t="s">
        <v>1927</v>
      </c>
    </row>
    <row r="162" spans="1:8">
      <c r="A162" s="4">
        <v>43</v>
      </c>
      <c r="B162" s="4" t="s">
        <v>171</v>
      </c>
      <c r="C162" s="4" t="s">
        <v>1925</v>
      </c>
      <c r="D162" s="4" t="s">
        <v>172</v>
      </c>
      <c r="E162" s="4" t="s">
        <v>2100</v>
      </c>
      <c r="F162" s="4" t="s">
        <v>2101</v>
      </c>
      <c r="G162" s="4"/>
      <c r="H162" s="4"/>
    </row>
    <row r="163" spans="1:8">
      <c r="A163" s="4">
        <v>43</v>
      </c>
      <c r="B163" s="4" t="s">
        <v>171</v>
      </c>
      <c r="C163" s="4" t="s">
        <v>1925</v>
      </c>
      <c r="D163" s="4" t="s">
        <v>172</v>
      </c>
      <c r="E163" s="4" t="s">
        <v>2102</v>
      </c>
      <c r="F163" s="4" t="s">
        <v>2103</v>
      </c>
      <c r="G163" s="4"/>
      <c r="H163" s="4"/>
    </row>
    <row r="164" spans="1:8">
      <c r="A164" s="4">
        <v>43</v>
      </c>
      <c r="B164" s="4" t="s">
        <v>171</v>
      </c>
      <c r="C164" s="4" t="s">
        <v>1930</v>
      </c>
      <c r="D164" s="4" t="s">
        <v>173</v>
      </c>
      <c r="E164" s="4" t="s">
        <v>173</v>
      </c>
      <c r="F164" s="4" t="s">
        <v>1347</v>
      </c>
      <c r="G164" s="4"/>
      <c r="H164" s="4"/>
    </row>
    <row r="165" spans="1:8">
      <c r="A165" s="4">
        <v>43</v>
      </c>
      <c r="B165" s="4" t="s">
        <v>171</v>
      </c>
      <c r="C165" s="4" t="s">
        <v>1936</v>
      </c>
      <c r="D165" s="4" t="s">
        <v>55</v>
      </c>
      <c r="E165" s="4" t="s">
        <v>151</v>
      </c>
      <c r="F165" s="4" t="s">
        <v>1286</v>
      </c>
      <c r="G165" s="4"/>
      <c r="H165" s="4"/>
    </row>
    <row r="166" spans="1:8" ht="27.6">
      <c r="A166" s="4">
        <v>44</v>
      </c>
      <c r="B166" s="4" t="s">
        <v>174</v>
      </c>
      <c r="C166" s="4" t="s">
        <v>1925</v>
      </c>
      <c r="D166" s="4" t="s">
        <v>175</v>
      </c>
      <c r="E166" s="4" t="s">
        <v>2104</v>
      </c>
      <c r="F166" s="4" t="s">
        <v>1348</v>
      </c>
      <c r="G166" s="4" t="s">
        <v>56</v>
      </c>
      <c r="H166" s="4" t="s">
        <v>1927</v>
      </c>
    </row>
    <row r="167" spans="1:8">
      <c r="A167" s="4">
        <v>44</v>
      </c>
      <c r="B167" s="4" t="s">
        <v>174</v>
      </c>
      <c r="C167" s="4" t="s">
        <v>1925</v>
      </c>
      <c r="D167" s="4" t="s">
        <v>175</v>
      </c>
      <c r="E167" s="4" t="s">
        <v>2105</v>
      </c>
      <c r="F167" s="4" t="s">
        <v>2106</v>
      </c>
      <c r="G167" s="4"/>
      <c r="H167" s="4"/>
    </row>
    <row r="168" spans="1:8">
      <c r="A168" s="4">
        <v>44</v>
      </c>
      <c r="B168" s="4" t="s">
        <v>174</v>
      </c>
      <c r="C168" s="4" t="s">
        <v>1930</v>
      </c>
      <c r="D168" s="4" t="s">
        <v>176</v>
      </c>
      <c r="E168" s="4" t="s">
        <v>176</v>
      </c>
      <c r="F168" s="4" t="s">
        <v>1349</v>
      </c>
      <c r="G168" s="4"/>
      <c r="H168" s="4"/>
    </row>
    <row r="169" spans="1:8">
      <c r="A169" s="4">
        <v>44</v>
      </c>
      <c r="B169" s="4" t="s">
        <v>174</v>
      </c>
      <c r="C169" s="4" t="s">
        <v>1936</v>
      </c>
      <c r="D169" s="4" t="s">
        <v>55</v>
      </c>
      <c r="E169" s="4" t="s">
        <v>151</v>
      </c>
      <c r="F169" s="4" t="s">
        <v>1286</v>
      </c>
      <c r="G169" s="4"/>
      <c r="H169" s="4"/>
    </row>
    <row r="170" spans="1:8" ht="27.6">
      <c r="A170" s="4">
        <v>45</v>
      </c>
      <c r="B170" s="4" t="s">
        <v>177</v>
      </c>
      <c r="C170" s="4" t="s">
        <v>1925</v>
      </c>
      <c r="D170" s="4" t="s">
        <v>178</v>
      </c>
      <c r="E170" s="4" t="s">
        <v>2107</v>
      </c>
      <c r="F170" s="4" t="s">
        <v>1350</v>
      </c>
      <c r="G170" s="4" t="s">
        <v>56</v>
      </c>
      <c r="H170" s="4" t="s">
        <v>1927</v>
      </c>
    </row>
    <row r="171" spans="1:8">
      <c r="A171" s="4">
        <v>45</v>
      </c>
      <c r="B171" s="4" t="s">
        <v>177</v>
      </c>
      <c r="C171" s="4" t="s">
        <v>1925</v>
      </c>
      <c r="D171" s="4" t="s">
        <v>178</v>
      </c>
      <c r="E171" s="4" t="s">
        <v>2108</v>
      </c>
      <c r="F171" s="4" t="s">
        <v>2109</v>
      </c>
      <c r="G171" s="4"/>
      <c r="H171" s="4"/>
    </row>
    <row r="172" spans="1:8">
      <c r="A172" s="4">
        <v>45</v>
      </c>
      <c r="B172" s="4" t="s">
        <v>177</v>
      </c>
      <c r="C172" s="4" t="s">
        <v>1925</v>
      </c>
      <c r="D172" s="4" t="s">
        <v>178</v>
      </c>
      <c r="E172" s="4" t="s">
        <v>2110</v>
      </c>
      <c r="F172" s="4" t="s">
        <v>2111</v>
      </c>
      <c r="G172" s="4"/>
      <c r="H172" s="4"/>
    </row>
    <row r="173" spans="1:8">
      <c r="A173" s="4">
        <v>45</v>
      </c>
      <c r="B173" s="4" t="s">
        <v>177</v>
      </c>
      <c r="C173" s="4" t="s">
        <v>1930</v>
      </c>
      <c r="D173" s="4" t="s">
        <v>179</v>
      </c>
      <c r="E173" s="4" t="s">
        <v>179</v>
      </c>
      <c r="F173" s="4" t="s">
        <v>1351</v>
      </c>
      <c r="G173" s="4"/>
      <c r="H173" s="4"/>
    </row>
    <row r="174" spans="1:8" ht="27.6">
      <c r="A174" s="4">
        <v>46</v>
      </c>
      <c r="B174" s="4" t="s">
        <v>180</v>
      </c>
      <c r="C174" s="4" t="s">
        <v>1925</v>
      </c>
      <c r="D174" s="4" t="s">
        <v>181</v>
      </c>
      <c r="E174" s="4" t="s">
        <v>2112</v>
      </c>
      <c r="F174" s="4" t="s">
        <v>1352</v>
      </c>
      <c r="G174" s="4" t="s">
        <v>184</v>
      </c>
      <c r="H174" s="4" t="s">
        <v>1927</v>
      </c>
    </row>
    <row r="175" spans="1:8">
      <c r="A175" s="4">
        <v>46</v>
      </c>
      <c r="B175" s="4" t="s">
        <v>180</v>
      </c>
      <c r="C175" s="4" t="s">
        <v>1925</v>
      </c>
      <c r="D175" s="4" t="s">
        <v>181</v>
      </c>
      <c r="E175" s="4" t="s">
        <v>2113</v>
      </c>
      <c r="F175" s="4" t="s">
        <v>2114</v>
      </c>
      <c r="G175" s="4"/>
      <c r="H175" s="4"/>
    </row>
    <row r="176" spans="1:8">
      <c r="A176" s="4">
        <v>46</v>
      </c>
      <c r="B176" s="4" t="s">
        <v>180</v>
      </c>
      <c r="C176" s="4" t="s">
        <v>1925</v>
      </c>
      <c r="D176" s="4" t="s">
        <v>181</v>
      </c>
      <c r="E176" s="4" t="s">
        <v>2115</v>
      </c>
      <c r="F176" s="4" t="s">
        <v>2116</v>
      </c>
      <c r="G176" s="4"/>
      <c r="H176" s="4"/>
    </row>
    <row r="177" spans="1:8">
      <c r="A177" s="4">
        <v>46</v>
      </c>
      <c r="B177" s="4" t="s">
        <v>180</v>
      </c>
      <c r="C177" s="4" t="s">
        <v>1930</v>
      </c>
      <c r="D177" s="4" t="s">
        <v>182</v>
      </c>
      <c r="E177" s="4" t="s">
        <v>182</v>
      </c>
      <c r="F177" s="4" t="s">
        <v>1353</v>
      </c>
      <c r="G177" s="4"/>
      <c r="H177" s="4"/>
    </row>
    <row r="178" spans="1:8">
      <c r="A178" s="4">
        <v>46</v>
      </c>
      <c r="B178" s="4" t="s">
        <v>180</v>
      </c>
      <c r="C178" s="4" t="s">
        <v>1936</v>
      </c>
      <c r="D178" s="4" t="s">
        <v>183</v>
      </c>
      <c r="E178" s="4" t="s">
        <v>191</v>
      </c>
      <c r="F178" s="4" t="s">
        <v>1354</v>
      </c>
      <c r="G178" s="4"/>
      <c r="H178" s="4"/>
    </row>
    <row r="179" spans="1:8" ht="27.6">
      <c r="A179" s="4">
        <v>47</v>
      </c>
      <c r="B179" s="4" t="s">
        <v>186</v>
      </c>
      <c r="C179" s="4" t="s">
        <v>1925</v>
      </c>
      <c r="D179" s="4" t="s">
        <v>187</v>
      </c>
      <c r="E179" s="4" t="s">
        <v>2117</v>
      </c>
      <c r="F179" s="4" t="s">
        <v>1355</v>
      </c>
      <c r="G179" s="4" t="s">
        <v>131</v>
      </c>
      <c r="H179" s="4" t="s">
        <v>1927</v>
      </c>
    </row>
    <row r="180" spans="1:8">
      <c r="A180" s="4">
        <v>47</v>
      </c>
      <c r="B180" s="4" t="s">
        <v>186</v>
      </c>
      <c r="C180" s="4" t="s">
        <v>1925</v>
      </c>
      <c r="D180" s="4" t="s">
        <v>187</v>
      </c>
      <c r="E180" s="4" t="s">
        <v>2118</v>
      </c>
      <c r="F180" s="4" t="s">
        <v>2119</v>
      </c>
      <c r="G180" s="4"/>
      <c r="H180" s="4"/>
    </row>
    <row r="181" spans="1:8">
      <c r="A181" s="4">
        <v>47</v>
      </c>
      <c r="B181" s="4" t="s">
        <v>186</v>
      </c>
      <c r="C181" s="4" t="s">
        <v>1930</v>
      </c>
      <c r="D181" s="4" t="s">
        <v>188</v>
      </c>
      <c r="E181" s="4" t="s">
        <v>188</v>
      </c>
      <c r="F181" s="4" t="s">
        <v>1356</v>
      </c>
      <c r="G181" s="4"/>
      <c r="H181" s="4"/>
    </row>
    <row r="182" spans="1:8">
      <c r="A182" s="4">
        <v>47</v>
      </c>
      <c r="B182" s="4" t="s">
        <v>186</v>
      </c>
      <c r="C182" s="4" t="s">
        <v>1936</v>
      </c>
      <c r="D182" s="4" t="s">
        <v>130</v>
      </c>
      <c r="E182" s="4" t="s">
        <v>1092</v>
      </c>
      <c r="F182" s="4" t="s">
        <v>1326</v>
      </c>
      <c r="G182" s="4"/>
      <c r="H182" s="4"/>
    </row>
    <row r="183" spans="1:8" ht="27.6">
      <c r="A183" s="4">
        <v>48</v>
      </c>
      <c r="B183" s="4" t="s">
        <v>189</v>
      </c>
      <c r="C183" s="4" t="s">
        <v>1925</v>
      </c>
      <c r="D183" s="4" t="s">
        <v>190</v>
      </c>
      <c r="E183" s="4" t="s">
        <v>2120</v>
      </c>
      <c r="F183" s="4" t="s">
        <v>1357</v>
      </c>
      <c r="G183" s="4" t="s">
        <v>131</v>
      </c>
      <c r="H183" s="4" t="s">
        <v>1927</v>
      </c>
    </row>
    <row r="184" spans="1:8">
      <c r="A184" s="4">
        <v>48</v>
      </c>
      <c r="B184" s="4" t="s">
        <v>189</v>
      </c>
      <c r="C184" s="4" t="s">
        <v>1925</v>
      </c>
      <c r="D184" s="4" t="s">
        <v>190</v>
      </c>
      <c r="E184" s="4" t="s">
        <v>2121</v>
      </c>
      <c r="F184" s="4" t="s">
        <v>2122</v>
      </c>
      <c r="G184" s="4"/>
      <c r="H184" s="4"/>
    </row>
    <row r="185" spans="1:8">
      <c r="A185" s="4">
        <v>48</v>
      </c>
      <c r="B185" s="4" t="s">
        <v>189</v>
      </c>
      <c r="C185" s="4" t="s">
        <v>1925</v>
      </c>
      <c r="D185" s="4" t="s">
        <v>190</v>
      </c>
      <c r="E185" s="4" t="s">
        <v>2123</v>
      </c>
      <c r="F185" s="4" t="s">
        <v>2124</v>
      </c>
      <c r="G185" s="4"/>
      <c r="H185" s="4"/>
    </row>
    <row r="186" spans="1:8">
      <c r="A186" s="4">
        <v>48</v>
      </c>
      <c r="B186" s="4" t="s">
        <v>189</v>
      </c>
      <c r="C186" s="4" t="s">
        <v>1930</v>
      </c>
      <c r="D186" s="4" t="s">
        <v>191</v>
      </c>
      <c r="E186" s="4" t="s">
        <v>191</v>
      </c>
      <c r="F186" s="4" t="s">
        <v>1354</v>
      </c>
      <c r="G186" s="4"/>
      <c r="H186" s="4"/>
    </row>
    <row r="187" spans="1:8">
      <c r="A187" s="4">
        <v>48</v>
      </c>
      <c r="B187" s="4" t="s">
        <v>189</v>
      </c>
      <c r="C187" s="4" t="s">
        <v>1936</v>
      </c>
      <c r="D187" s="4" t="s">
        <v>130</v>
      </c>
      <c r="E187" s="4" t="s">
        <v>1092</v>
      </c>
      <c r="F187" s="4" t="s">
        <v>1326</v>
      </c>
      <c r="G187" s="4"/>
      <c r="H187" s="4"/>
    </row>
    <row r="188" spans="1:8" ht="27.6">
      <c r="A188" s="4">
        <v>49</v>
      </c>
      <c r="B188" s="4" t="s">
        <v>192</v>
      </c>
      <c r="C188" s="4" t="s">
        <v>1925</v>
      </c>
      <c r="D188" s="4" t="s">
        <v>193</v>
      </c>
      <c r="E188" s="4" t="s">
        <v>2125</v>
      </c>
      <c r="F188" s="4" t="s">
        <v>1358</v>
      </c>
      <c r="G188" s="4" t="s">
        <v>131</v>
      </c>
      <c r="H188" s="4" t="s">
        <v>1927</v>
      </c>
    </row>
    <row r="189" spans="1:8">
      <c r="A189" s="4">
        <v>49</v>
      </c>
      <c r="B189" s="4" t="s">
        <v>192</v>
      </c>
      <c r="C189" s="4" t="s">
        <v>1925</v>
      </c>
      <c r="D189" s="4" t="s">
        <v>193</v>
      </c>
      <c r="E189" s="4" t="s">
        <v>2126</v>
      </c>
      <c r="F189" s="4" t="s">
        <v>2127</v>
      </c>
      <c r="G189" s="4"/>
      <c r="H189" s="4"/>
    </row>
    <row r="190" spans="1:8">
      <c r="A190" s="4">
        <v>49</v>
      </c>
      <c r="B190" s="4" t="s">
        <v>192</v>
      </c>
      <c r="C190" s="4" t="s">
        <v>1930</v>
      </c>
      <c r="D190" s="4" t="s">
        <v>194</v>
      </c>
      <c r="E190" s="4" t="s">
        <v>194</v>
      </c>
      <c r="F190" s="4" t="s">
        <v>1359</v>
      </c>
      <c r="G190" s="4"/>
      <c r="H190" s="4"/>
    </row>
    <row r="191" spans="1:8">
      <c r="A191" s="4">
        <v>49</v>
      </c>
      <c r="B191" s="4" t="s">
        <v>192</v>
      </c>
      <c r="C191" s="4" t="s">
        <v>1936</v>
      </c>
      <c r="D191" s="4" t="s">
        <v>130</v>
      </c>
      <c r="E191" s="4" t="s">
        <v>1092</v>
      </c>
      <c r="F191" s="4" t="s">
        <v>1326</v>
      </c>
      <c r="G191" s="4"/>
      <c r="H191" s="4"/>
    </row>
    <row r="192" spans="1:8" ht="27.6">
      <c r="A192" s="4">
        <v>50</v>
      </c>
      <c r="B192" s="4" t="s">
        <v>195</v>
      </c>
      <c r="C192" s="4" t="s">
        <v>1925</v>
      </c>
      <c r="D192" s="4" t="s">
        <v>196</v>
      </c>
      <c r="E192" s="4" t="s">
        <v>2128</v>
      </c>
      <c r="F192" s="4" t="s">
        <v>1360</v>
      </c>
      <c r="G192" s="4" t="s">
        <v>121</v>
      </c>
      <c r="H192" s="4" t="s">
        <v>1927</v>
      </c>
    </row>
    <row r="193" spans="1:8">
      <c r="A193" s="4">
        <v>50</v>
      </c>
      <c r="B193" s="4" t="s">
        <v>195</v>
      </c>
      <c r="C193" s="4" t="s">
        <v>1925</v>
      </c>
      <c r="D193" s="4" t="s">
        <v>196</v>
      </c>
      <c r="E193" s="4" t="s">
        <v>2129</v>
      </c>
      <c r="F193" s="4" t="s">
        <v>2130</v>
      </c>
      <c r="G193" s="4"/>
      <c r="H193" s="4"/>
    </row>
    <row r="194" spans="1:8">
      <c r="A194" s="4">
        <v>50</v>
      </c>
      <c r="B194" s="4" t="s">
        <v>195</v>
      </c>
      <c r="C194" s="4" t="s">
        <v>1925</v>
      </c>
      <c r="D194" s="4" t="s">
        <v>196</v>
      </c>
      <c r="E194" s="4" t="s">
        <v>2131</v>
      </c>
      <c r="F194" s="4" t="s">
        <v>2132</v>
      </c>
      <c r="G194" s="4"/>
      <c r="H194" s="4"/>
    </row>
    <row r="195" spans="1:8">
      <c r="A195" s="4">
        <v>50</v>
      </c>
      <c r="B195" s="4" t="s">
        <v>195</v>
      </c>
      <c r="C195" s="4" t="s">
        <v>1930</v>
      </c>
      <c r="D195" s="4" t="s">
        <v>120</v>
      </c>
      <c r="E195" s="4" t="s">
        <v>303</v>
      </c>
      <c r="F195" s="4" t="s">
        <v>1322</v>
      </c>
      <c r="G195" s="4"/>
      <c r="H195" s="4"/>
    </row>
    <row r="196" spans="1:8" ht="27.6">
      <c r="A196" s="4">
        <v>51</v>
      </c>
      <c r="B196" s="4" t="s">
        <v>197</v>
      </c>
      <c r="C196" s="4" t="s">
        <v>1925</v>
      </c>
      <c r="D196" s="4" t="s">
        <v>198</v>
      </c>
      <c r="E196" s="4" t="s">
        <v>2133</v>
      </c>
      <c r="F196" s="4" t="s">
        <v>1361</v>
      </c>
      <c r="G196" s="4" t="s">
        <v>121</v>
      </c>
      <c r="H196" s="4" t="s">
        <v>1927</v>
      </c>
    </row>
    <row r="197" spans="1:8">
      <c r="A197" s="4">
        <v>51</v>
      </c>
      <c r="B197" s="4" t="s">
        <v>197</v>
      </c>
      <c r="C197" s="4" t="s">
        <v>1925</v>
      </c>
      <c r="D197" s="4" t="s">
        <v>198</v>
      </c>
      <c r="E197" s="4" t="s">
        <v>2134</v>
      </c>
      <c r="F197" s="4" t="s">
        <v>2135</v>
      </c>
      <c r="G197" s="4"/>
      <c r="H197" s="4"/>
    </row>
    <row r="198" spans="1:8">
      <c r="A198" s="4">
        <v>51</v>
      </c>
      <c r="B198" s="4" t="s">
        <v>197</v>
      </c>
      <c r="C198" s="4" t="s">
        <v>1930</v>
      </c>
      <c r="D198" s="4" t="s">
        <v>199</v>
      </c>
      <c r="E198" s="4" t="s">
        <v>199</v>
      </c>
      <c r="F198" s="4" t="s">
        <v>1362</v>
      </c>
      <c r="G198" s="4"/>
      <c r="H198" s="4"/>
    </row>
    <row r="199" spans="1:8">
      <c r="A199" s="4">
        <v>51</v>
      </c>
      <c r="B199" s="4" t="s">
        <v>197</v>
      </c>
      <c r="C199" s="4" t="s">
        <v>1936</v>
      </c>
      <c r="D199" s="4" t="s">
        <v>120</v>
      </c>
      <c r="E199" s="4" t="s">
        <v>303</v>
      </c>
      <c r="F199" s="4" t="s">
        <v>1322</v>
      </c>
      <c r="G199" s="4"/>
      <c r="H199" s="4"/>
    </row>
    <row r="200" spans="1:8" ht="27.6">
      <c r="A200" s="4">
        <v>52</v>
      </c>
      <c r="B200" s="4" t="s">
        <v>200</v>
      </c>
      <c r="C200" s="4" t="s">
        <v>1925</v>
      </c>
      <c r="D200" s="4" t="s">
        <v>201</v>
      </c>
      <c r="E200" s="4" t="s">
        <v>2136</v>
      </c>
      <c r="F200" s="4" t="s">
        <v>1363</v>
      </c>
      <c r="G200" s="4" t="s">
        <v>131</v>
      </c>
      <c r="H200" s="4" t="s">
        <v>1927</v>
      </c>
    </row>
    <row r="201" spans="1:8">
      <c r="A201" s="4">
        <v>52</v>
      </c>
      <c r="B201" s="4" t="s">
        <v>200</v>
      </c>
      <c r="C201" s="4" t="s">
        <v>1925</v>
      </c>
      <c r="D201" s="4" t="s">
        <v>201</v>
      </c>
      <c r="E201" s="4" t="s">
        <v>2137</v>
      </c>
      <c r="F201" s="4" t="s">
        <v>2138</v>
      </c>
      <c r="G201" s="4"/>
      <c r="H201" s="4"/>
    </row>
    <row r="202" spans="1:8">
      <c r="A202" s="4">
        <v>52</v>
      </c>
      <c r="B202" s="4" t="s">
        <v>200</v>
      </c>
      <c r="C202" s="4" t="s">
        <v>1925</v>
      </c>
      <c r="D202" s="4" t="s">
        <v>201</v>
      </c>
      <c r="E202" s="4" t="s">
        <v>2139</v>
      </c>
      <c r="F202" s="4" t="s">
        <v>2140</v>
      </c>
      <c r="G202" s="4"/>
      <c r="H202" s="4"/>
    </row>
    <row r="203" spans="1:8">
      <c r="A203" s="4">
        <v>52</v>
      </c>
      <c r="B203" s="4" t="s">
        <v>200</v>
      </c>
      <c r="C203" s="4" t="s">
        <v>1930</v>
      </c>
      <c r="D203" s="4" t="s">
        <v>202</v>
      </c>
      <c r="E203" s="4" t="s">
        <v>202</v>
      </c>
      <c r="F203" s="4" t="s">
        <v>1364</v>
      </c>
      <c r="G203" s="4"/>
      <c r="H203" s="4"/>
    </row>
    <row r="204" spans="1:8">
      <c r="A204" s="4">
        <v>52</v>
      </c>
      <c r="B204" s="4" t="s">
        <v>200</v>
      </c>
      <c r="C204" s="4" t="s">
        <v>1936</v>
      </c>
      <c r="D204" s="4" t="s">
        <v>130</v>
      </c>
      <c r="E204" s="4" t="s">
        <v>1092</v>
      </c>
      <c r="F204" s="4" t="s">
        <v>1326</v>
      </c>
      <c r="G204" s="4"/>
      <c r="H204" s="4"/>
    </row>
    <row r="205" spans="1:8" ht="27.6">
      <c r="A205" s="4">
        <v>53</v>
      </c>
      <c r="B205" s="4" t="s">
        <v>203</v>
      </c>
      <c r="C205" s="4" t="s">
        <v>1925</v>
      </c>
      <c r="D205" s="4" t="s">
        <v>204</v>
      </c>
      <c r="E205" s="4" t="s">
        <v>2141</v>
      </c>
      <c r="F205" s="4" t="s">
        <v>1365</v>
      </c>
      <c r="G205" s="4" t="s">
        <v>131</v>
      </c>
      <c r="H205" s="4" t="s">
        <v>1927</v>
      </c>
    </row>
    <row r="206" spans="1:8">
      <c r="A206" s="4">
        <v>53</v>
      </c>
      <c r="B206" s="4" t="s">
        <v>203</v>
      </c>
      <c r="C206" s="4" t="s">
        <v>1925</v>
      </c>
      <c r="D206" s="4" t="s">
        <v>204</v>
      </c>
      <c r="E206" s="4" t="s">
        <v>2142</v>
      </c>
      <c r="F206" s="4" t="s">
        <v>2143</v>
      </c>
      <c r="G206" s="4"/>
      <c r="H206" s="4"/>
    </row>
    <row r="207" spans="1:8">
      <c r="A207" s="4">
        <v>53</v>
      </c>
      <c r="B207" s="4" t="s">
        <v>203</v>
      </c>
      <c r="C207" s="4" t="s">
        <v>1930</v>
      </c>
      <c r="D207" s="4" t="s">
        <v>130</v>
      </c>
      <c r="E207" s="4" t="s">
        <v>1092</v>
      </c>
      <c r="F207" s="4" t="s">
        <v>1326</v>
      </c>
      <c r="G207" s="4"/>
      <c r="H207" s="4"/>
    </row>
    <row r="208" spans="1:8" ht="27.6">
      <c r="A208" s="4">
        <v>54</v>
      </c>
      <c r="B208" s="4" t="s">
        <v>205</v>
      </c>
      <c r="C208" s="4" t="s">
        <v>1925</v>
      </c>
      <c r="D208" s="4" t="s">
        <v>206</v>
      </c>
      <c r="E208" s="4" t="s">
        <v>2144</v>
      </c>
      <c r="F208" s="4" t="s">
        <v>1366</v>
      </c>
      <c r="G208" s="4" t="s">
        <v>131</v>
      </c>
      <c r="H208" s="4" t="s">
        <v>1927</v>
      </c>
    </row>
    <row r="209" spans="1:8">
      <c r="A209" s="4">
        <v>54</v>
      </c>
      <c r="B209" s="4" t="s">
        <v>205</v>
      </c>
      <c r="C209" s="4" t="s">
        <v>1925</v>
      </c>
      <c r="D209" s="4" t="s">
        <v>206</v>
      </c>
      <c r="E209" s="4" t="s">
        <v>2145</v>
      </c>
      <c r="F209" s="4" t="s">
        <v>2146</v>
      </c>
      <c r="G209" s="4"/>
      <c r="H209" s="4"/>
    </row>
    <row r="210" spans="1:8">
      <c r="A210" s="4">
        <v>54</v>
      </c>
      <c r="B210" s="4" t="s">
        <v>205</v>
      </c>
      <c r="C210" s="4" t="s">
        <v>1925</v>
      </c>
      <c r="D210" s="4" t="s">
        <v>206</v>
      </c>
      <c r="E210" s="4" t="s">
        <v>2147</v>
      </c>
      <c r="F210" s="4" t="s">
        <v>2148</v>
      </c>
      <c r="G210" s="4"/>
      <c r="H210" s="4"/>
    </row>
    <row r="211" spans="1:8">
      <c r="A211" s="4">
        <v>54</v>
      </c>
      <c r="B211" s="4" t="s">
        <v>205</v>
      </c>
      <c r="C211" s="4" t="s">
        <v>1930</v>
      </c>
      <c r="D211" s="4" t="s">
        <v>207</v>
      </c>
      <c r="E211" s="4" t="s">
        <v>207</v>
      </c>
      <c r="F211" s="4" t="s">
        <v>1367</v>
      </c>
      <c r="G211" s="4"/>
      <c r="H211" s="4"/>
    </row>
    <row r="212" spans="1:8">
      <c r="A212" s="4">
        <v>54</v>
      </c>
      <c r="B212" s="4" t="s">
        <v>205</v>
      </c>
      <c r="C212" s="4" t="s">
        <v>1936</v>
      </c>
      <c r="D212" s="4" t="s">
        <v>130</v>
      </c>
      <c r="E212" s="4" t="s">
        <v>1092</v>
      </c>
      <c r="F212" s="4" t="s">
        <v>1326</v>
      </c>
      <c r="G212" s="4"/>
      <c r="H212" s="4"/>
    </row>
    <row r="213" spans="1:8" ht="27.6">
      <c r="A213" s="4">
        <v>55</v>
      </c>
      <c r="B213" s="4" t="s">
        <v>208</v>
      </c>
      <c r="C213" s="4" t="s">
        <v>1925</v>
      </c>
      <c r="D213" s="4" t="s">
        <v>209</v>
      </c>
      <c r="E213" s="4" t="s">
        <v>2149</v>
      </c>
      <c r="F213" s="4" t="s">
        <v>1368</v>
      </c>
      <c r="G213" s="4" t="s">
        <v>211</v>
      </c>
      <c r="H213" s="4" t="s">
        <v>1927</v>
      </c>
    </row>
    <row r="214" spans="1:8">
      <c r="A214" s="4">
        <v>55</v>
      </c>
      <c r="B214" s="4" t="s">
        <v>208</v>
      </c>
      <c r="C214" s="4" t="s">
        <v>1925</v>
      </c>
      <c r="D214" s="4" t="s">
        <v>209</v>
      </c>
      <c r="E214" s="4" t="s">
        <v>2150</v>
      </c>
      <c r="F214" s="4" t="s">
        <v>2151</v>
      </c>
      <c r="G214" s="4"/>
      <c r="H214" s="4"/>
    </row>
    <row r="215" spans="1:8">
      <c r="A215" s="4">
        <v>55</v>
      </c>
      <c r="B215" s="4" t="s">
        <v>208</v>
      </c>
      <c r="C215" s="4" t="s">
        <v>1930</v>
      </c>
      <c r="D215" s="4" t="s">
        <v>210</v>
      </c>
      <c r="E215" s="4" t="s">
        <v>210</v>
      </c>
      <c r="F215" s="4" t="s">
        <v>1369</v>
      </c>
      <c r="G215" s="4"/>
      <c r="H215" s="4"/>
    </row>
    <row r="216" spans="1:8" ht="27.6">
      <c r="A216" s="4">
        <v>56</v>
      </c>
      <c r="B216" s="4" t="s">
        <v>214</v>
      </c>
      <c r="C216" s="4" t="s">
        <v>1925</v>
      </c>
      <c r="D216" s="4" t="s">
        <v>215</v>
      </c>
      <c r="E216" s="4" t="s">
        <v>2152</v>
      </c>
      <c r="F216" s="4" t="s">
        <v>1370</v>
      </c>
      <c r="G216" s="4" t="s">
        <v>211</v>
      </c>
      <c r="H216" s="4" t="s">
        <v>1927</v>
      </c>
    </row>
    <row r="217" spans="1:8">
      <c r="A217" s="4">
        <v>56</v>
      </c>
      <c r="B217" s="4" t="s">
        <v>214</v>
      </c>
      <c r="C217" s="4" t="s">
        <v>1925</v>
      </c>
      <c r="D217" s="4" t="s">
        <v>215</v>
      </c>
      <c r="E217" s="4" t="s">
        <v>2153</v>
      </c>
      <c r="F217" s="4" t="s">
        <v>2154</v>
      </c>
      <c r="G217" s="4"/>
      <c r="H217" s="4"/>
    </row>
    <row r="218" spans="1:8">
      <c r="A218" s="4">
        <v>56</v>
      </c>
      <c r="B218" s="4" t="s">
        <v>214</v>
      </c>
      <c r="C218" s="4" t="s">
        <v>1925</v>
      </c>
      <c r="D218" s="4" t="s">
        <v>215</v>
      </c>
      <c r="E218" s="4" t="s">
        <v>2155</v>
      </c>
      <c r="F218" s="4" t="s">
        <v>2156</v>
      </c>
      <c r="G218" s="4"/>
      <c r="H218" s="4"/>
    </row>
    <row r="219" spans="1:8">
      <c r="A219" s="4">
        <v>56</v>
      </c>
      <c r="B219" s="4" t="s">
        <v>214</v>
      </c>
      <c r="C219" s="4" t="s">
        <v>1930</v>
      </c>
      <c r="D219" s="4" t="s">
        <v>216</v>
      </c>
      <c r="E219" s="4" t="s">
        <v>216</v>
      </c>
      <c r="F219" s="4" t="s">
        <v>1371</v>
      </c>
      <c r="G219" s="4"/>
      <c r="H219" s="4"/>
    </row>
    <row r="220" spans="1:8" ht="27.6">
      <c r="A220" s="4">
        <v>57</v>
      </c>
      <c r="B220" s="4" t="s">
        <v>217</v>
      </c>
      <c r="C220" s="4" t="s">
        <v>1925</v>
      </c>
      <c r="D220" s="4" t="s">
        <v>218</v>
      </c>
      <c r="E220" s="4" t="s">
        <v>2157</v>
      </c>
      <c r="F220" s="4" t="s">
        <v>1372</v>
      </c>
      <c r="G220" s="4" t="s">
        <v>34</v>
      </c>
      <c r="H220" s="4" t="s">
        <v>1927</v>
      </c>
    </row>
    <row r="221" spans="1:8">
      <c r="A221" s="4">
        <v>57</v>
      </c>
      <c r="B221" s="4" t="s">
        <v>217</v>
      </c>
      <c r="C221" s="4" t="s">
        <v>1925</v>
      </c>
      <c r="D221" s="4" t="s">
        <v>218</v>
      </c>
      <c r="E221" s="4" t="s">
        <v>2158</v>
      </c>
      <c r="F221" s="4" t="s">
        <v>2159</v>
      </c>
      <c r="G221" s="4"/>
      <c r="H221" s="4"/>
    </row>
    <row r="222" spans="1:8">
      <c r="A222" s="4">
        <v>57</v>
      </c>
      <c r="B222" s="4" t="s">
        <v>217</v>
      </c>
      <c r="C222" s="4" t="s">
        <v>1925</v>
      </c>
      <c r="D222" s="4" t="s">
        <v>218</v>
      </c>
      <c r="E222" s="4" t="s">
        <v>2160</v>
      </c>
      <c r="F222" s="4" t="s">
        <v>2161</v>
      </c>
      <c r="G222" s="4"/>
      <c r="H222" s="4"/>
    </row>
    <row r="223" spans="1:8">
      <c r="A223" s="4">
        <v>57</v>
      </c>
      <c r="B223" s="4" t="s">
        <v>217</v>
      </c>
      <c r="C223" s="4" t="s">
        <v>1930</v>
      </c>
      <c r="D223" s="4" t="s">
        <v>219</v>
      </c>
      <c r="E223" s="4" t="s">
        <v>219</v>
      </c>
      <c r="F223" s="4" t="s">
        <v>1373</v>
      </c>
      <c r="G223" s="4"/>
      <c r="H223" s="4"/>
    </row>
    <row r="224" spans="1:8">
      <c r="A224" s="4">
        <v>57</v>
      </c>
      <c r="B224" s="4" t="s">
        <v>217</v>
      </c>
      <c r="C224" s="4" t="s">
        <v>1936</v>
      </c>
      <c r="D224" s="4" t="s">
        <v>33</v>
      </c>
      <c r="E224" s="4" t="s">
        <v>170</v>
      </c>
      <c r="F224" s="4" t="s">
        <v>1275</v>
      </c>
      <c r="G224" s="4"/>
      <c r="H224" s="4"/>
    </row>
    <row r="225" spans="1:8" ht="27.6">
      <c r="A225" s="4">
        <v>58</v>
      </c>
      <c r="B225" s="4" t="s">
        <v>220</v>
      </c>
      <c r="C225" s="4" t="s">
        <v>1925</v>
      </c>
      <c r="D225" s="4" t="s">
        <v>221</v>
      </c>
      <c r="E225" s="4" t="s">
        <v>2162</v>
      </c>
      <c r="F225" s="4" t="s">
        <v>1374</v>
      </c>
      <c r="G225" s="4" t="s">
        <v>34</v>
      </c>
      <c r="H225" s="4" t="s">
        <v>1927</v>
      </c>
    </row>
    <row r="226" spans="1:8">
      <c r="A226" s="4">
        <v>58</v>
      </c>
      <c r="B226" s="4" t="s">
        <v>220</v>
      </c>
      <c r="C226" s="4" t="s">
        <v>1925</v>
      </c>
      <c r="D226" s="4" t="s">
        <v>221</v>
      </c>
      <c r="E226" s="4" t="s">
        <v>2163</v>
      </c>
      <c r="F226" s="4" t="s">
        <v>2164</v>
      </c>
      <c r="G226" s="4"/>
      <c r="H226" s="4"/>
    </row>
    <row r="227" spans="1:8">
      <c r="A227" s="4">
        <v>58</v>
      </c>
      <c r="B227" s="4" t="s">
        <v>220</v>
      </c>
      <c r="C227" s="4" t="s">
        <v>1930</v>
      </c>
      <c r="D227" s="4" t="s">
        <v>222</v>
      </c>
      <c r="E227" s="4" t="s">
        <v>222</v>
      </c>
      <c r="F227" s="4" t="s">
        <v>1375</v>
      </c>
      <c r="G227" s="4"/>
      <c r="H227" s="4"/>
    </row>
    <row r="228" spans="1:8" ht="27.6">
      <c r="A228" s="4">
        <v>59</v>
      </c>
      <c r="B228" s="4" t="s">
        <v>223</v>
      </c>
      <c r="C228" s="4" t="s">
        <v>1925</v>
      </c>
      <c r="D228" s="4" t="s">
        <v>224</v>
      </c>
      <c r="E228" s="4" t="s">
        <v>2165</v>
      </c>
      <c r="F228" s="4" t="s">
        <v>1376</v>
      </c>
      <c r="G228" s="4" t="s">
        <v>226</v>
      </c>
      <c r="H228" s="4" t="s">
        <v>1927</v>
      </c>
    </row>
    <row r="229" spans="1:8">
      <c r="A229" s="4">
        <v>59</v>
      </c>
      <c r="B229" s="4" t="s">
        <v>223</v>
      </c>
      <c r="C229" s="4" t="s">
        <v>1925</v>
      </c>
      <c r="D229" s="4" t="s">
        <v>224</v>
      </c>
      <c r="E229" s="4" t="s">
        <v>2166</v>
      </c>
      <c r="F229" s="4" t="s">
        <v>2167</v>
      </c>
      <c r="G229" s="4"/>
      <c r="H229" s="4"/>
    </row>
    <row r="230" spans="1:8">
      <c r="A230" s="4">
        <v>59</v>
      </c>
      <c r="B230" s="4" t="s">
        <v>223</v>
      </c>
      <c r="C230" s="4" t="s">
        <v>1925</v>
      </c>
      <c r="D230" s="4" t="s">
        <v>224</v>
      </c>
      <c r="E230" s="4" t="s">
        <v>2168</v>
      </c>
      <c r="F230" s="4" t="s">
        <v>2169</v>
      </c>
      <c r="G230" s="4"/>
      <c r="H230" s="4"/>
    </row>
    <row r="231" spans="1:8">
      <c r="A231" s="4">
        <v>59</v>
      </c>
      <c r="B231" s="4" t="s">
        <v>223</v>
      </c>
      <c r="C231" s="4" t="s">
        <v>1930</v>
      </c>
      <c r="D231" s="4" t="s">
        <v>225</v>
      </c>
      <c r="E231" s="4" t="s">
        <v>225</v>
      </c>
      <c r="F231" s="4" t="s">
        <v>1377</v>
      </c>
      <c r="G231" s="4"/>
      <c r="H231" s="4"/>
    </row>
    <row r="232" spans="1:8" ht="27.6">
      <c r="A232" s="4">
        <v>60</v>
      </c>
      <c r="B232" s="4" t="s">
        <v>228</v>
      </c>
      <c r="C232" s="4" t="s">
        <v>1925</v>
      </c>
      <c r="D232" s="4" t="s">
        <v>229</v>
      </c>
      <c r="E232" s="4" t="s">
        <v>2170</v>
      </c>
      <c r="F232" s="4" t="s">
        <v>1378</v>
      </c>
      <c r="G232" s="4" t="s">
        <v>226</v>
      </c>
      <c r="H232" s="4" t="s">
        <v>1927</v>
      </c>
    </row>
    <row r="233" spans="1:8">
      <c r="A233" s="4">
        <v>60</v>
      </c>
      <c r="B233" s="4" t="s">
        <v>228</v>
      </c>
      <c r="C233" s="4" t="s">
        <v>1925</v>
      </c>
      <c r="D233" s="4" t="s">
        <v>229</v>
      </c>
      <c r="E233" s="4" t="s">
        <v>2171</v>
      </c>
      <c r="F233" s="4" t="s">
        <v>2172</v>
      </c>
      <c r="G233" s="4"/>
      <c r="H233" s="4"/>
    </row>
    <row r="234" spans="1:8">
      <c r="A234" s="4">
        <v>60</v>
      </c>
      <c r="B234" s="4" t="s">
        <v>228</v>
      </c>
      <c r="C234" s="4" t="s">
        <v>1930</v>
      </c>
      <c r="D234" s="4" t="s">
        <v>230</v>
      </c>
      <c r="E234" s="4" t="s">
        <v>230</v>
      </c>
      <c r="F234" s="4" t="s">
        <v>1379</v>
      </c>
      <c r="G234" s="4"/>
      <c r="H234" s="4"/>
    </row>
    <row r="235" spans="1:8" ht="27.6">
      <c r="A235" s="4">
        <v>61</v>
      </c>
      <c r="B235" s="4" t="s">
        <v>231</v>
      </c>
      <c r="C235" s="4" t="s">
        <v>1925</v>
      </c>
      <c r="D235" s="4" t="s">
        <v>232</v>
      </c>
      <c r="E235" s="4" t="s">
        <v>2173</v>
      </c>
      <c r="F235" s="4" t="s">
        <v>2174</v>
      </c>
      <c r="G235" s="4" t="s">
        <v>235</v>
      </c>
      <c r="H235" s="4" t="s">
        <v>1927</v>
      </c>
    </row>
    <row r="236" spans="1:8" ht="27.6">
      <c r="A236" s="4">
        <v>61</v>
      </c>
      <c r="B236" s="4" t="s">
        <v>231</v>
      </c>
      <c r="C236" s="4" t="s">
        <v>1925</v>
      </c>
      <c r="D236" s="4" t="s">
        <v>232</v>
      </c>
      <c r="E236" s="4" t="s">
        <v>2175</v>
      </c>
      <c r="F236" s="4" t="s">
        <v>1380</v>
      </c>
      <c r="G236" s="4"/>
      <c r="H236" s="4"/>
    </row>
    <row r="237" spans="1:8" ht="27.6">
      <c r="A237" s="4">
        <v>61</v>
      </c>
      <c r="B237" s="4" t="s">
        <v>231</v>
      </c>
      <c r="C237" s="4" t="s">
        <v>1925</v>
      </c>
      <c r="D237" s="4" t="s">
        <v>232</v>
      </c>
      <c r="E237" s="4" t="s">
        <v>2176</v>
      </c>
      <c r="F237" s="4" t="s">
        <v>2177</v>
      </c>
      <c r="G237" s="4"/>
      <c r="H237" s="4"/>
    </row>
    <row r="238" spans="1:8">
      <c r="A238" s="4">
        <v>61</v>
      </c>
      <c r="B238" s="4" t="s">
        <v>231</v>
      </c>
      <c r="C238" s="4" t="s">
        <v>1930</v>
      </c>
      <c r="D238" s="4" t="s">
        <v>233</v>
      </c>
      <c r="E238" s="4" t="s">
        <v>233</v>
      </c>
      <c r="F238" s="4" t="s">
        <v>1381</v>
      </c>
      <c r="G238" s="4"/>
      <c r="H238" s="4"/>
    </row>
    <row r="239" spans="1:8">
      <c r="A239" s="4">
        <v>61</v>
      </c>
      <c r="B239" s="4" t="s">
        <v>231</v>
      </c>
      <c r="C239" s="4" t="s">
        <v>1936</v>
      </c>
      <c r="D239" s="4" t="s">
        <v>234</v>
      </c>
      <c r="E239" s="4" t="s">
        <v>871</v>
      </c>
      <c r="F239" s="4" t="s">
        <v>1382</v>
      </c>
      <c r="G239" s="4"/>
      <c r="H239" s="4"/>
    </row>
    <row r="240" spans="1:8" ht="27.6">
      <c r="A240" s="4">
        <v>62</v>
      </c>
      <c r="B240" s="4" t="s">
        <v>237</v>
      </c>
      <c r="C240" s="4" t="s">
        <v>1925</v>
      </c>
      <c r="D240" s="4" t="s">
        <v>238</v>
      </c>
      <c r="E240" s="4" t="s">
        <v>2178</v>
      </c>
      <c r="F240" s="4" t="s">
        <v>1383</v>
      </c>
      <c r="G240" s="4" t="s">
        <v>121</v>
      </c>
      <c r="H240" s="4" t="s">
        <v>1927</v>
      </c>
    </row>
    <row r="241" spans="1:8">
      <c r="A241" s="4">
        <v>62</v>
      </c>
      <c r="B241" s="4" t="s">
        <v>237</v>
      </c>
      <c r="C241" s="4" t="s">
        <v>1925</v>
      </c>
      <c r="D241" s="4" t="s">
        <v>238</v>
      </c>
      <c r="E241" s="4" t="s">
        <v>2179</v>
      </c>
      <c r="F241" s="4" t="s">
        <v>2180</v>
      </c>
      <c r="G241" s="4"/>
      <c r="H241" s="4"/>
    </row>
    <row r="242" spans="1:8">
      <c r="A242" s="4">
        <v>62</v>
      </c>
      <c r="B242" s="4" t="s">
        <v>237</v>
      </c>
      <c r="C242" s="4" t="s">
        <v>1930</v>
      </c>
      <c r="D242" s="4" t="s">
        <v>239</v>
      </c>
      <c r="E242" s="4" t="s">
        <v>239</v>
      </c>
      <c r="F242" s="4" t="s">
        <v>1384</v>
      </c>
      <c r="G242" s="4"/>
      <c r="H242" s="4"/>
    </row>
    <row r="243" spans="1:8" ht="27.6">
      <c r="A243" s="4">
        <v>63</v>
      </c>
      <c r="B243" s="4" t="s">
        <v>240</v>
      </c>
      <c r="C243" s="4" t="s">
        <v>1925</v>
      </c>
      <c r="D243" s="4" t="s">
        <v>241</v>
      </c>
      <c r="E243" s="4" t="s">
        <v>2181</v>
      </c>
      <c r="F243" s="4" t="s">
        <v>1385</v>
      </c>
      <c r="G243" s="4" t="s">
        <v>243</v>
      </c>
      <c r="H243" s="4" t="s">
        <v>1927</v>
      </c>
    </row>
    <row r="244" spans="1:8">
      <c r="A244" s="4">
        <v>63</v>
      </c>
      <c r="B244" s="4" t="s">
        <v>240</v>
      </c>
      <c r="C244" s="4" t="s">
        <v>1925</v>
      </c>
      <c r="D244" s="4" t="s">
        <v>241</v>
      </c>
      <c r="E244" s="4" t="s">
        <v>2182</v>
      </c>
      <c r="F244" s="4" t="s">
        <v>2183</v>
      </c>
      <c r="G244" s="4"/>
      <c r="H244" s="4"/>
    </row>
    <row r="245" spans="1:8">
      <c r="A245" s="4">
        <v>63</v>
      </c>
      <c r="B245" s="4" t="s">
        <v>240</v>
      </c>
      <c r="C245" s="4" t="s">
        <v>1925</v>
      </c>
      <c r="D245" s="4" t="s">
        <v>241</v>
      </c>
      <c r="E245" s="4" t="s">
        <v>2184</v>
      </c>
      <c r="F245" s="4" t="s">
        <v>2185</v>
      </c>
      <c r="G245" s="4"/>
      <c r="H245" s="4"/>
    </row>
    <row r="246" spans="1:8">
      <c r="A246" s="4">
        <v>63</v>
      </c>
      <c r="B246" s="4" t="s">
        <v>240</v>
      </c>
      <c r="C246" s="4" t="s">
        <v>1930</v>
      </c>
      <c r="D246" s="4" t="s">
        <v>242</v>
      </c>
      <c r="E246" s="4" t="s">
        <v>242</v>
      </c>
      <c r="F246" s="4" t="s">
        <v>1386</v>
      </c>
      <c r="G246" s="4"/>
      <c r="H246" s="4"/>
    </row>
    <row r="247" spans="1:8" ht="27.6">
      <c r="A247" s="4">
        <v>64</v>
      </c>
      <c r="B247" s="4" t="s">
        <v>245</v>
      </c>
      <c r="C247" s="4" t="s">
        <v>1925</v>
      </c>
      <c r="D247" s="4" t="s">
        <v>246</v>
      </c>
      <c r="E247" s="4" t="s">
        <v>2186</v>
      </c>
      <c r="F247" s="4" t="s">
        <v>1387</v>
      </c>
      <c r="G247" s="4" t="s">
        <v>243</v>
      </c>
      <c r="H247" s="4" t="s">
        <v>1927</v>
      </c>
    </row>
    <row r="248" spans="1:8">
      <c r="A248" s="4">
        <v>64</v>
      </c>
      <c r="B248" s="4" t="s">
        <v>245</v>
      </c>
      <c r="C248" s="4" t="s">
        <v>1925</v>
      </c>
      <c r="D248" s="4" t="s">
        <v>246</v>
      </c>
      <c r="E248" s="4" t="s">
        <v>2187</v>
      </c>
      <c r="F248" s="4" t="s">
        <v>2188</v>
      </c>
      <c r="G248" s="4"/>
      <c r="H248" s="4"/>
    </row>
    <row r="249" spans="1:8">
      <c r="A249" s="4">
        <v>64</v>
      </c>
      <c r="B249" s="4" t="s">
        <v>245</v>
      </c>
      <c r="C249" s="4" t="s">
        <v>1930</v>
      </c>
      <c r="D249" s="4" t="s">
        <v>247</v>
      </c>
      <c r="E249" s="4" t="s">
        <v>247</v>
      </c>
      <c r="F249" s="4" t="s">
        <v>1388</v>
      </c>
      <c r="G249" s="4"/>
      <c r="H249" s="4"/>
    </row>
    <row r="250" spans="1:8" ht="27.6">
      <c r="A250" s="4">
        <v>65</v>
      </c>
      <c r="B250" s="4" t="s">
        <v>248</v>
      </c>
      <c r="C250" s="4" t="s">
        <v>1925</v>
      </c>
      <c r="D250" s="4" t="s">
        <v>249</v>
      </c>
      <c r="E250" s="4" t="s">
        <v>2189</v>
      </c>
      <c r="F250" s="4" t="s">
        <v>1389</v>
      </c>
      <c r="G250" s="4" t="s">
        <v>243</v>
      </c>
      <c r="H250" s="4" t="s">
        <v>1927</v>
      </c>
    </row>
    <row r="251" spans="1:8">
      <c r="A251" s="4">
        <v>65</v>
      </c>
      <c r="B251" s="4" t="s">
        <v>248</v>
      </c>
      <c r="C251" s="4" t="s">
        <v>1925</v>
      </c>
      <c r="D251" s="4" t="s">
        <v>249</v>
      </c>
      <c r="E251" s="4" t="s">
        <v>2190</v>
      </c>
      <c r="F251" s="4" t="s">
        <v>2191</v>
      </c>
      <c r="G251" s="4"/>
      <c r="H251" s="4"/>
    </row>
    <row r="252" spans="1:8">
      <c r="A252" s="4">
        <v>65</v>
      </c>
      <c r="B252" s="4" t="s">
        <v>248</v>
      </c>
      <c r="C252" s="4" t="s">
        <v>1925</v>
      </c>
      <c r="D252" s="4" t="s">
        <v>249</v>
      </c>
      <c r="E252" s="4" t="s">
        <v>2192</v>
      </c>
      <c r="F252" s="4" t="s">
        <v>2193</v>
      </c>
      <c r="G252" s="4"/>
      <c r="H252" s="4"/>
    </row>
    <row r="253" spans="1:8">
      <c r="A253" s="4">
        <v>65</v>
      </c>
      <c r="B253" s="4" t="s">
        <v>248</v>
      </c>
      <c r="C253" s="4" t="s">
        <v>1930</v>
      </c>
      <c r="D253" s="4" t="s">
        <v>250</v>
      </c>
      <c r="E253" s="4" t="s">
        <v>250</v>
      </c>
      <c r="F253" s="4" t="s">
        <v>1390</v>
      </c>
      <c r="G253" s="4"/>
      <c r="H253" s="4"/>
    </row>
    <row r="254" spans="1:8" ht="27.6">
      <c r="A254" s="4">
        <v>66</v>
      </c>
      <c r="B254" s="4" t="s">
        <v>251</v>
      </c>
      <c r="C254" s="4" t="s">
        <v>1925</v>
      </c>
      <c r="D254" s="4" t="s">
        <v>252</v>
      </c>
      <c r="E254" s="4" t="s">
        <v>2194</v>
      </c>
      <c r="F254" s="4" t="s">
        <v>1391</v>
      </c>
      <c r="G254" s="4" t="s">
        <v>254</v>
      </c>
      <c r="H254" s="4" t="s">
        <v>1927</v>
      </c>
    </row>
    <row r="255" spans="1:8">
      <c r="A255" s="4">
        <v>66</v>
      </c>
      <c r="B255" s="4" t="s">
        <v>251</v>
      </c>
      <c r="C255" s="4" t="s">
        <v>1925</v>
      </c>
      <c r="D255" s="4" t="s">
        <v>252</v>
      </c>
      <c r="E255" s="4" t="s">
        <v>2195</v>
      </c>
      <c r="F255" s="4" t="s">
        <v>2196</v>
      </c>
      <c r="G255" s="4"/>
      <c r="H255" s="4"/>
    </row>
    <row r="256" spans="1:8">
      <c r="A256" s="4">
        <v>66</v>
      </c>
      <c r="B256" s="4" t="s">
        <v>251</v>
      </c>
      <c r="C256" s="4" t="s">
        <v>1930</v>
      </c>
      <c r="D256" s="4" t="s">
        <v>253</v>
      </c>
      <c r="E256" s="4" t="s">
        <v>384</v>
      </c>
      <c r="F256" s="4" t="s">
        <v>1392</v>
      </c>
      <c r="G256" s="4"/>
      <c r="H256" s="4"/>
    </row>
    <row r="257" spans="1:8" ht="27.6">
      <c r="A257" s="4">
        <v>67</v>
      </c>
      <c r="B257" s="4" t="s">
        <v>256</v>
      </c>
      <c r="C257" s="4" t="s">
        <v>1925</v>
      </c>
      <c r="D257" s="4" t="s">
        <v>257</v>
      </c>
      <c r="E257" s="4" t="s">
        <v>2197</v>
      </c>
      <c r="F257" s="4" t="s">
        <v>1393</v>
      </c>
      <c r="G257" s="4" t="s">
        <v>226</v>
      </c>
      <c r="H257" s="4" t="s">
        <v>1927</v>
      </c>
    </row>
    <row r="258" spans="1:8">
      <c r="A258" s="4">
        <v>67</v>
      </c>
      <c r="B258" s="4" t="s">
        <v>256</v>
      </c>
      <c r="C258" s="4" t="s">
        <v>1925</v>
      </c>
      <c r="D258" s="4" t="s">
        <v>257</v>
      </c>
      <c r="E258" s="4" t="s">
        <v>2198</v>
      </c>
      <c r="F258" s="4" t="s">
        <v>2199</v>
      </c>
      <c r="G258" s="4"/>
      <c r="H258" s="4"/>
    </row>
    <row r="259" spans="1:8">
      <c r="A259" s="4">
        <v>67</v>
      </c>
      <c r="B259" s="4" t="s">
        <v>256</v>
      </c>
      <c r="C259" s="4" t="s">
        <v>1925</v>
      </c>
      <c r="D259" s="4" t="s">
        <v>257</v>
      </c>
      <c r="E259" s="4" t="s">
        <v>2200</v>
      </c>
      <c r="F259" s="4" t="s">
        <v>2201</v>
      </c>
      <c r="G259" s="4"/>
      <c r="H259" s="4"/>
    </row>
    <row r="260" spans="1:8">
      <c r="A260" s="4">
        <v>67</v>
      </c>
      <c r="B260" s="4" t="s">
        <v>256</v>
      </c>
      <c r="C260" s="4" t="s">
        <v>1930</v>
      </c>
      <c r="D260" s="4" t="s">
        <v>258</v>
      </c>
      <c r="E260" s="4" t="s">
        <v>258</v>
      </c>
      <c r="F260" s="4" t="s">
        <v>1394</v>
      </c>
      <c r="G260" s="4"/>
      <c r="H260" s="4"/>
    </row>
    <row r="261" spans="1:8" ht="27.6">
      <c r="A261" s="4">
        <v>68</v>
      </c>
      <c r="B261" s="4" t="s">
        <v>259</v>
      </c>
      <c r="C261" s="4" t="s">
        <v>1925</v>
      </c>
      <c r="D261" s="4" t="s">
        <v>260</v>
      </c>
      <c r="E261" s="4" t="s">
        <v>2202</v>
      </c>
      <c r="F261" s="4" t="s">
        <v>1395</v>
      </c>
      <c r="G261" s="4" t="s">
        <v>262</v>
      </c>
      <c r="H261" s="4" t="s">
        <v>1927</v>
      </c>
    </row>
    <row r="262" spans="1:8">
      <c r="A262" s="4">
        <v>68</v>
      </c>
      <c r="B262" s="4" t="s">
        <v>259</v>
      </c>
      <c r="C262" s="4" t="s">
        <v>1925</v>
      </c>
      <c r="D262" s="4" t="s">
        <v>260</v>
      </c>
      <c r="E262" s="4" t="s">
        <v>2203</v>
      </c>
      <c r="F262" s="4" t="s">
        <v>2204</v>
      </c>
      <c r="G262" s="4"/>
      <c r="H262" s="4"/>
    </row>
    <row r="263" spans="1:8">
      <c r="A263" s="4">
        <v>68</v>
      </c>
      <c r="B263" s="4" t="s">
        <v>259</v>
      </c>
      <c r="C263" s="4" t="s">
        <v>1925</v>
      </c>
      <c r="D263" s="4" t="s">
        <v>260</v>
      </c>
      <c r="E263" s="4" t="s">
        <v>2205</v>
      </c>
      <c r="F263" s="4" t="s">
        <v>2206</v>
      </c>
      <c r="G263" s="4"/>
      <c r="H263" s="4"/>
    </row>
    <row r="264" spans="1:8">
      <c r="A264" s="4">
        <v>68</v>
      </c>
      <c r="B264" s="4" t="s">
        <v>259</v>
      </c>
      <c r="C264" s="4" t="s">
        <v>1930</v>
      </c>
      <c r="D264" s="4" t="s">
        <v>261</v>
      </c>
      <c r="E264" s="4" t="s">
        <v>261</v>
      </c>
      <c r="F264" s="4" t="s">
        <v>1396</v>
      </c>
      <c r="G264" s="4"/>
      <c r="H264" s="4"/>
    </row>
    <row r="265" spans="1:8" ht="27.6">
      <c r="A265" s="4">
        <v>69</v>
      </c>
      <c r="B265" s="4" t="s">
        <v>264</v>
      </c>
      <c r="C265" s="4" t="s">
        <v>1925</v>
      </c>
      <c r="D265" s="4" t="s">
        <v>265</v>
      </c>
      <c r="E265" s="4" t="s">
        <v>2207</v>
      </c>
      <c r="F265" s="4" t="s">
        <v>1397</v>
      </c>
      <c r="G265" s="4" t="s">
        <v>226</v>
      </c>
      <c r="H265" s="4" t="s">
        <v>1927</v>
      </c>
    </row>
    <row r="266" spans="1:8">
      <c r="A266" s="4">
        <v>69</v>
      </c>
      <c r="B266" s="4" t="s">
        <v>264</v>
      </c>
      <c r="C266" s="4" t="s">
        <v>1925</v>
      </c>
      <c r="D266" s="4" t="s">
        <v>265</v>
      </c>
      <c r="E266" s="4" t="s">
        <v>2208</v>
      </c>
      <c r="F266" s="4" t="s">
        <v>2209</v>
      </c>
      <c r="G266" s="4"/>
      <c r="H266" s="4"/>
    </row>
    <row r="267" spans="1:8">
      <c r="A267" s="4">
        <v>69</v>
      </c>
      <c r="B267" s="4" t="s">
        <v>264</v>
      </c>
      <c r="C267" s="4" t="s">
        <v>1930</v>
      </c>
      <c r="D267" s="4" t="s">
        <v>266</v>
      </c>
      <c r="E267" s="4" t="s">
        <v>266</v>
      </c>
      <c r="F267" s="4" t="s">
        <v>1398</v>
      </c>
      <c r="G267" s="4"/>
      <c r="H267" s="4"/>
    </row>
    <row r="268" spans="1:8">
      <c r="A268" s="4">
        <v>69</v>
      </c>
      <c r="B268" s="4" t="s">
        <v>264</v>
      </c>
      <c r="C268" s="4" t="s">
        <v>1936</v>
      </c>
      <c r="D268" s="4" t="s">
        <v>267</v>
      </c>
      <c r="E268" s="4" t="s">
        <v>173</v>
      </c>
      <c r="F268" s="4" t="s">
        <v>1347</v>
      </c>
      <c r="G268" s="4"/>
      <c r="H268" s="4"/>
    </row>
    <row r="269" spans="1:8" ht="27.6">
      <c r="A269" s="4">
        <v>70</v>
      </c>
      <c r="B269" s="4" t="s">
        <v>268</v>
      </c>
      <c r="C269" s="4" t="s">
        <v>1925</v>
      </c>
      <c r="D269" s="4" t="s">
        <v>269</v>
      </c>
      <c r="E269" s="4" t="s">
        <v>2210</v>
      </c>
      <c r="F269" s="4" t="s">
        <v>1399</v>
      </c>
      <c r="G269" s="4" t="s">
        <v>226</v>
      </c>
      <c r="H269" s="4" t="s">
        <v>1927</v>
      </c>
    </row>
    <row r="270" spans="1:8">
      <c r="A270" s="4">
        <v>70</v>
      </c>
      <c r="B270" s="4" t="s">
        <v>268</v>
      </c>
      <c r="C270" s="4" t="s">
        <v>1925</v>
      </c>
      <c r="D270" s="4" t="s">
        <v>269</v>
      </c>
      <c r="E270" s="4" t="s">
        <v>2211</v>
      </c>
      <c r="F270" s="4" t="s">
        <v>2212</v>
      </c>
      <c r="G270" s="4"/>
      <c r="H270" s="4"/>
    </row>
    <row r="271" spans="1:8">
      <c r="A271" s="4">
        <v>70</v>
      </c>
      <c r="B271" s="4" t="s">
        <v>268</v>
      </c>
      <c r="C271" s="4" t="s">
        <v>1925</v>
      </c>
      <c r="D271" s="4" t="s">
        <v>269</v>
      </c>
      <c r="E271" s="4" t="s">
        <v>2213</v>
      </c>
      <c r="F271" s="4" t="s">
        <v>2214</v>
      </c>
      <c r="G271" s="4"/>
      <c r="H271" s="4"/>
    </row>
    <row r="272" spans="1:8">
      <c r="A272" s="4">
        <v>70</v>
      </c>
      <c r="B272" s="4" t="s">
        <v>268</v>
      </c>
      <c r="C272" s="4" t="s">
        <v>1930</v>
      </c>
      <c r="D272" s="4" t="s">
        <v>270</v>
      </c>
      <c r="E272" s="4" t="s">
        <v>270</v>
      </c>
      <c r="F272" s="4" t="s">
        <v>1400</v>
      </c>
      <c r="G272" s="4"/>
      <c r="H272" s="4"/>
    </row>
    <row r="273" spans="1:8">
      <c r="A273" s="4">
        <v>70</v>
      </c>
      <c r="B273" s="4" t="s">
        <v>268</v>
      </c>
      <c r="C273" s="4" t="s">
        <v>1936</v>
      </c>
      <c r="D273" s="4" t="s">
        <v>267</v>
      </c>
      <c r="E273" s="4" t="s">
        <v>173</v>
      </c>
      <c r="F273" s="4" t="s">
        <v>1347</v>
      </c>
      <c r="G273" s="4"/>
      <c r="H273" s="4"/>
    </row>
    <row r="274" spans="1:8" ht="27.6">
      <c r="A274" s="4">
        <v>71</v>
      </c>
      <c r="B274" s="4" t="s">
        <v>271</v>
      </c>
      <c r="C274" s="4" t="s">
        <v>1925</v>
      </c>
      <c r="D274" s="4" t="s">
        <v>272</v>
      </c>
      <c r="E274" s="4" t="s">
        <v>2215</v>
      </c>
      <c r="F274" s="4" t="s">
        <v>1401</v>
      </c>
      <c r="G274" s="4" t="s">
        <v>34</v>
      </c>
      <c r="H274" s="4" t="s">
        <v>1927</v>
      </c>
    </row>
    <row r="275" spans="1:8">
      <c r="A275" s="4">
        <v>71</v>
      </c>
      <c r="B275" s="4" t="s">
        <v>271</v>
      </c>
      <c r="C275" s="4" t="s">
        <v>1925</v>
      </c>
      <c r="D275" s="4" t="s">
        <v>272</v>
      </c>
      <c r="E275" s="4" t="s">
        <v>2216</v>
      </c>
      <c r="F275" s="4" t="s">
        <v>2217</v>
      </c>
      <c r="G275" s="4"/>
      <c r="H275" s="4"/>
    </row>
    <row r="276" spans="1:8">
      <c r="A276" s="4">
        <v>71</v>
      </c>
      <c r="B276" s="4" t="s">
        <v>271</v>
      </c>
      <c r="C276" s="4" t="s">
        <v>1930</v>
      </c>
      <c r="D276" s="4" t="s">
        <v>273</v>
      </c>
      <c r="E276" s="4" t="s">
        <v>273</v>
      </c>
      <c r="F276" s="4" t="s">
        <v>1402</v>
      </c>
      <c r="G276" s="4"/>
      <c r="H276" s="4"/>
    </row>
    <row r="277" spans="1:8">
      <c r="A277" s="4">
        <v>71</v>
      </c>
      <c r="B277" s="4" t="s">
        <v>271</v>
      </c>
      <c r="C277" s="4" t="s">
        <v>1936</v>
      </c>
      <c r="D277" s="4" t="s">
        <v>33</v>
      </c>
      <c r="E277" s="4" t="s">
        <v>170</v>
      </c>
      <c r="F277" s="4" t="s">
        <v>1275</v>
      </c>
      <c r="G277" s="4"/>
      <c r="H277" s="4"/>
    </row>
    <row r="278" spans="1:8" ht="27.6">
      <c r="A278" s="4">
        <v>72</v>
      </c>
      <c r="B278" s="4" t="s">
        <v>274</v>
      </c>
      <c r="C278" s="4" t="s">
        <v>1925</v>
      </c>
      <c r="D278" s="4" t="s">
        <v>275</v>
      </c>
      <c r="E278" s="4" t="s">
        <v>2218</v>
      </c>
      <c r="F278" s="4" t="s">
        <v>1403</v>
      </c>
      <c r="G278" s="4" t="s">
        <v>34</v>
      </c>
      <c r="H278" s="4" t="s">
        <v>1927</v>
      </c>
    </row>
    <row r="279" spans="1:8">
      <c r="A279" s="4">
        <v>72</v>
      </c>
      <c r="B279" s="4" t="s">
        <v>274</v>
      </c>
      <c r="C279" s="4" t="s">
        <v>1925</v>
      </c>
      <c r="D279" s="4" t="s">
        <v>275</v>
      </c>
      <c r="E279" s="4" t="s">
        <v>2219</v>
      </c>
      <c r="F279" s="4" t="s">
        <v>2220</v>
      </c>
      <c r="G279" s="4"/>
      <c r="H279" s="4"/>
    </row>
    <row r="280" spans="1:8">
      <c r="A280" s="4">
        <v>72</v>
      </c>
      <c r="B280" s="4" t="s">
        <v>274</v>
      </c>
      <c r="C280" s="4" t="s">
        <v>1925</v>
      </c>
      <c r="D280" s="4" t="s">
        <v>275</v>
      </c>
      <c r="E280" s="4" t="s">
        <v>2221</v>
      </c>
      <c r="F280" s="4" t="s">
        <v>2222</v>
      </c>
      <c r="G280" s="4"/>
      <c r="H280" s="4"/>
    </row>
    <row r="281" spans="1:8">
      <c r="A281" s="4">
        <v>72</v>
      </c>
      <c r="B281" s="4" t="s">
        <v>274</v>
      </c>
      <c r="C281" s="4" t="s">
        <v>1930</v>
      </c>
      <c r="D281" s="4" t="s">
        <v>276</v>
      </c>
      <c r="E281" s="4" t="s">
        <v>276</v>
      </c>
      <c r="F281" s="4" t="s">
        <v>1404</v>
      </c>
      <c r="G281" s="4"/>
      <c r="H281" s="4"/>
    </row>
    <row r="282" spans="1:8">
      <c r="A282" s="4">
        <v>72</v>
      </c>
      <c r="B282" s="4" t="s">
        <v>274</v>
      </c>
      <c r="C282" s="4" t="s">
        <v>1936</v>
      </c>
      <c r="D282" s="4" t="s">
        <v>33</v>
      </c>
      <c r="E282" s="4" t="s">
        <v>170</v>
      </c>
      <c r="F282" s="4" t="s">
        <v>1275</v>
      </c>
      <c r="G282" s="4"/>
      <c r="H282" s="4"/>
    </row>
    <row r="283" spans="1:8" ht="27.6">
      <c r="A283" s="4">
        <v>73</v>
      </c>
      <c r="B283" s="4" t="s">
        <v>277</v>
      </c>
      <c r="C283" s="4" t="s">
        <v>1925</v>
      </c>
      <c r="D283" s="4" t="s">
        <v>278</v>
      </c>
      <c r="E283" s="4" t="s">
        <v>2223</v>
      </c>
      <c r="F283" s="4" t="s">
        <v>1405</v>
      </c>
      <c r="G283" s="4" t="s">
        <v>281</v>
      </c>
      <c r="H283" s="4" t="s">
        <v>1927</v>
      </c>
    </row>
    <row r="284" spans="1:8">
      <c r="A284" s="4">
        <v>73</v>
      </c>
      <c r="B284" s="4" t="s">
        <v>277</v>
      </c>
      <c r="C284" s="4" t="s">
        <v>1925</v>
      </c>
      <c r="D284" s="4" t="s">
        <v>278</v>
      </c>
      <c r="E284" s="4" t="s">
        <v>2224</v>
      </c>
      <c r="F284" s="4" t="s">
        <v>2225</v>
      </c>
      <c r="G284" s="4"/>
      <c r="H284" s="4"/>
    </row>
    <row r="285" spans="1:8">
      <c r="A285" s="4">
        <v>73</v>
      </c>
      <c r="B285" s="4" t="s">
        <v>277</v>
      </c>
      <c r="C285" s="4" t="s">
        <v>1930</v>
      </c>
      <c r="D285" s="4" t="s">
        <v>279</v>
      </c>
      <c r="E285" s="4" t="s">
        <v>279</v>
      </c>
      <c r="F285" s="4" t="s">
        <v>1406</v>
      </c>
      <c r="G285" s="4"/>
      <c r="H285" s="4"/>
    </row>
    <row r="286" spans="1:8">
      <c r="A286" s="4">
        <v>73</v>
      </c>
      <c r="B286" s="4" t="s">
        <v>277</v>
      </c>
      <c r="C286" s="4" t="s">
        <v>1936</v>
      </c>
      <c r="D286" s="4" t="s">
        <v>280</v>
      </c>
      <c r="E286" s="4" t="s">
        <v>962</v>
      </c>
      <c r="F286" s="4" t="s">
        <v>1344</v>
      </c>
      <c r="G286" s="4"/>
      <c r="H286" s="4"/>
    </row>
    <row r="287" spans="1:8" ht="27.6">
      <c r="A287" s="4">
        <v>74</v>
      </c>
      <c r="B287" s="4" t="s">
        <v>283</v>
      </c>
      <c r="C287" s="4" t="s">
        <v>1925</v>
      </c>
      <c r="D287" s="4" t="s">
        <v>284</v>
      </c>
      <c r="E287" s="4" t="s">
        <v>2226</v>
      </c>
      <c r="F287" s="4" t="s">
        <v>1407</v>
      </c>
      <c r="G287" s="4" t="s">
        <v>34</v>
      </c>
      <c r="H287" s="4" t="s">
        <v>1927</v>
      </c>
    </row>
    <row r="288" spans="1:8" ht="27.6">
      <c r="A288" s="4">
        <v>74</v>
      </c>
      <c r="B288" s="4" t="s">
        <v>283</v>
      </c>
      <c r="C288" s="4" t="s">
        <v>1925</v>
      </c>
      <c r="D288" s="4" t="s">
        <v>284</v>
      </c>
      <c r="E288" s="4" t="s">
        <v>2227</v>
      </c>
      <c r="F288" s="4" t="s">
        <v>2228</v>
      </c>
      <c r="G288" s="4"/>
      <c r="H288" s="4"/>
    </row>
    <row r="289" spans="1:8" ht="27.6">
      <c r="A289" s="4">
        <v>74</v>
      </c>
      <c r="B289" s="4" t="s">
        <v>283</v>
      </c>
      <c r="C289" s="4" t="s">
        <v>1925</v>
      </c>
      <c r="D289" s="4" t="s">
        <v>284</v>
      </c>
      <c r="E289" s="4" t="s">
        <v>2229</v>
      </c>
      <c r="F289" s="4" t="s">
        <v>2230</v>
      </c>
      <c r="G289" s="4"/>
      <c r="H289" s="4"/>
    </row>
    <row r="290" spans="1:8">
      <c r="A290" s="4">
        <v>74</v>
      </c>
      <c r="B290" s="4" t="s">
        <v>283</v>
      </c>
      <c r="C290" s="4" t="s">
        <v>1930</v>
      </c>
      <c r="D290" s="4" t="s">
        <v>285</v>
      </c>
      <c r="E290" s="4" t="s">
        <v>285</v>
      </c>
      <c r="F290" s="4" t="s">
        <v>1408</v>
      </c>
      <c r="G290" s="4"/>
      <c r="H290" s="4"/>
    </row>
    <row r="291" spans="1:8" ht="27.6">
      <c r="A291" s="4">
        <v>75</v>
      </c>
      <c r="B291" s="4" t="s">
        <v>286</v>
      </c>
      <c r="C291" s="4" t="s">
        <v>1925</v>
      </c>
      <c r="D291" s="4" t="s">
        <v>287</v>
      </c>
      <c r="E291" s="4" t="s">
        <v>2231</v>
      </c>
      <c r="F291" s="4" t="s">
        <v>1409</v>
      </c>
      <c r="G291" s="4" t="s">
        <v>34</v>
      </c>
      <c r="H291" s="4" t="s">
        <v>1927</v>
      </c>
    </row>
    <row r="292" spans="1:8">
      <c r="A292" s="4">
        <v>75</v>
      </c>
      <c r="B292" s="4" t="s">
        <v>286</v>
      </c>
      <c r="C292" s="4" t="s">
        <v>1925</v>
      </c>
      <c r="D292" s="4" t="s">
        <v>287</v>
      </c>
      <c r="E292" s="4" t="s">
        <v>2232</v>
      </c>
      <c r="F292" s="4" t="s">
        <v>2233</v>
      </c>
      <c r="G292" s="4"/>
      <c r="H292" s="4"/>
    </row>
    <row r="293" spans="1:8">
      <c r="A293" s="4">
        <v>75</v>
      </c>
      <c r="B293" s="4" t="s">
        <v>286</v>
      </c>
      <c r="C293" s="4" t="s">
        <v>1930</v>
      </c>
      <c r="D293" s="4" t="s">
        <v>288</v>
      </c>
      <c r="E293" s="4" t="s">
        <v>288</v>
      </c>
      <c r="F293" s="4" t="s">
        <v>1410</v>
      </c>
      <c r="G293" s="4"/>
      <c r="H293" s="4"/>
    </row>
    <row r="294" spans="1:8">
      <c r="A294" s="4">
        <v>75</v>
      </c>
      <c r="B294" s="4" t="s">
        <v>286</v>
      </c>
      <c r="C294" s="4" t="s">
        <v>1936</v>
      </c>
      <c r="D294" s="4" t="s">
        <v>33</v>
      </c>
      <c r="E294" s="4" t="s">
        <v>170</v>
      </c>
      <c r="F294" s="4" t="s">
        <v>1275</v>
      </c>
      <c r="G294" s="4"/>
      <c r="H294" s="4"/>
    </row>
    <row r="295" spans="1:8" ht="27.6">
      <c r="A295" s="4">
        <v>76</v>
      </c>
      <c r="B295" s="4" t="s">
        <v>289</v>
      </c>
      <c r="C295" s="4" t="s">
        <v>1925</v>
      </c>
      <c r="D295" s="4" t="s">
        <v>290</v>
      </c>
      <c r="E295" s="4" t="s">
        <v>2234</v>
      </c>
      <c r="F295" s="4" t="s">
        <v>1411</v>
      </c>
      <c r="G295" s="4" t="s">
        <v>34</v>
      </c>
      <c r="H295" s="4" t="s">
        <v>1927</v>
      </c>
    </row>
    <row r="296" spans="1:8">
      <c r="A296" s="4">
        <v>76</v>
      </c>
      <c r="B296" s="4" t="s">
        <v>289</v>
      </c>
      <c r="C296" s="4" t="s">
        <v>1925</v>
      </c>
      <c r="D296" s="4" t="s">
        <v>290</v>
      </c>
      <c r="E296" s="4" t="s">
        <v>2235</v>
      </c>
      <c r="F296" s="4" t="s">
        <v>2236</v>
      </c>
      <c r="G296" s="4"/>
      <c r="H296" s="4"/>
    </row>
    <row r="297" spans="1:8">
      <c r="A297" s="4">
        <v>76</v>
      </c>
      <c r="B297" s="4" t="s">
        <v>289</v>
      </c>
      <c r="C297" s="4" t="s">
        <v>1925</v>
      </c>
      <c r="D297" s="4" t="s">
        <v>290</v>
      </c>
      <c r="E297" s="4" t="s">
        <v>2237</v>
      </c>
      <c r="F297" s="4" t="s">
        <v>2238</v>
      </c>
      <c r="G297" s="4"/>
      <c r="H297" s="4"/>
    </row>
    <row r="298" spans="1:8">
      <c r="A298" s="4">
        <v>76</v>
      </c>
      <c r="B298" s="4" t="s">
        <v>289</v>
      </c>
      <c r="C298" s="4" t="s">
        <v>1930</v>
      </c>
      <c r="D298" s="4" t="s">
        <v>291</v>
      </c>
      <c r="E298" s="4" t="s">
        <v>291</v>
      </c>
      <c r="F298" s="4" t="s">
        <v>1412</v>
      </c>
      <c r="G298" s="4"/>
      <c r="H298" s="4"/>
    </row>
    <row r="299" spans="1:8">
      <c r="A299" s="4">
        <v>76</v>
      </c>
      <c r="B299" s="4" t="s">
        <v>289</v>
      </c>
      <c r="C299" s="4" t="s">
        <v>1936</v>
      </c>
      <c r="D299" s="4" t="s">
        <v>33</v>
      </c>
      <c r="E299" s="4" t="s">
        <v>170</v>
      </c>
      <c r="F299" s="4" t="s">
        <v>1275</v>
      </c>
      <c r="G299" s="4"/>
      <c r="H299" s="4"/>
    </row>
    <row r="300" spans="1:8" ht="27.6">
      <c r="A300" s="4">
        <v>77</v>
      </c>
      <c r="B300" s="4" t="s">
        <v>292</v>
      </c>
      <c r="C300" s="4" t="s">
        <v>1925</v>
      </c>
      <c r="D300" s="4" t="s">
        <v>293</v>
      </c>
      <c r="E300" s="4" t="s">
        <v>2239</v>
      </c>
      <c r="F300" s="4" t="s">
        <v>1413</v>
      </c>
      <c r="G300" s="4" t="s">
        <v>296</v>
      </c>
      <c r="H300" s="4" t="s">
        <v>1927</v>
      </c>
    </row>
    <row r="301" spans="1:8">
      <c r="A301" s="4">
        <v>77</v>
      </c>
      <c r="B301" s="4" t="s">
        <v>292</v>
      </c>
      <c r="C301" s="4" t="s">
        <v>1925</v>
      </c>
      <c r="D301" s="4" t="s">
        <v>293</v>
      </c>
      <c r="E301" s="4" t="s">
        <v>2240</v>
      </c>
      <c r="F301" s="4" t="s">
        <v>2241</v>
      </c>
      <c r="G301" s="4"/>
      <c r="H301" s="4"/>
    </row>
    <row r="302" spans="1:8">
      <c r="A302" s="4">
        <v>77</v>
      </c>
      <c r="B302" s="4" t="s">
        <v>292</v>
      </c>
      <c r="C302" s="4" t="s">
        <v>1930</v>
      </c>
      <c r="D302" s="4" t="s">
        <v>294</v>
      </c>
      <c r="E302" s="4" t="s">
        <v>294</v>
      </c>
      <c r="F302" s="4" t="s">
        <v>1414</v>
      </c>
      <c r="G302" s="4"/>
      <c r="H302" s="4"/>
    </row>
    <row r="303" spans="1:8">
      <c r="A303" s="4">
        <v>77</v>
      </c>
      <c r="B303" s="4" t="s">
        <v>292</v>
      </c>
      <c r="C303" s="4" t="s">
        <v>1936</v>
      </c>
      <c r="D303" s="4" t="s">
        <v>295</v>
      </c>
      <c r="E303" s="4" t="s">
        <v>464</v>
      </c>
      <c r="F303" s="4" t="s">
        <v>1415</v>
      </c>
      <c r="G303" s="4"/>
      <c r="H303" s="4"/>
    </row>
    <row r="304" spans="1:8" ht="27.6">
      <c r="A304" s="4">
        <v>78</v>
      </c>
      <c r="B304" s="4" t="s">
        <v>298</v>
      </c>
      <c r="C304" s="4" t="s">
        <v>1925</v>
      </c>
      <c r="D304" s="4" t="s">
        <v>299</v>
      </c>
      <c r="E304" s="4" t="s">
        <v>2242</v>
      </c>
      <c r="F304" s="4" t="s">
        <v>1416</v>
      </c>
      <c r="G304" s="4" t="s">
        <v>296</v>
      </c>
      <c r="H304" s="4" t="s">
        <v>1927</v>
      </c>
    </row>
    <row r="305" spans="1:8">
      <c r="A305" s="4">
        <v>78</v>
      </c>
      <c r="B305" s="4" t="s">
        <v>298</v>
      </c>
      <c r="C305" s="4" t="s">
        <v>1925</v>
      </c>
      <c r="D305" s="4" t="s">
        <v>299</v>
      </c>
      <c r="E305" s="4" t="s">
        <v>2243</v>
      </c>
      <c r="F305" s="4" t="s">
        <v>2244</v>
      </c>
      <c r="G305" s="4"/>
      <c r="H305" s="4"/>
    </row>
    <row r="306" spans="1:8">
      <c r="A306" s="4">
        <v>78</v>
      </c>
      <c r="B306" s="4" t="s">
        <v>298</v>
      </c>
      <c r="C306" s="4" t="s">
        <v>1925</v>
      </c>
      <c r="D306" s="4" t="s">
        <v>299</v>
      </c>
      <c r="E306" s="4" t="s">
        <v>2245</v>
      </c>
      <c r="F306" s="4" t="s">
        <v>2246</v>
      </c>
      <c r="G306" s="4"/>
      <c r="H306" s="4"/>
    </row>
    <row r="307" spans="1:8">
      <c r="A307" s="4">
        <v>78</v>
      </c>
      <c r="B307" s="4" t="s">
        <v>298</v>
      </c>
      <c r="C307" s="4" t="s">
        <v>1930</v>
      </c>
      <c r="D307" s="4" t="s">
        <v>300</v>
      </c>
      <c r="E307" s="4" t="s">
        <v>300</v>
      </c>
      <c r="F307" s="4" t="s">
        <v>1417</v>
      </c>
      <c r="G307" s="4"/>
      <c r="H307" s="4"/>
    </row>
    <row r="308" spans="1:8">
      <c r="A308" s="4">
        <v>78</v>
      </c>
      <c r="B308" s="4" t="s">
        <v>298</v>
      </c>
      <c r="C308" s="4" t="s">
        <v>1936</v>
      </c>
      <c r="D308" s="4" t="s">
        <v>295</v>
      </c>
      <c r="E308" s="4" t="s">
        <v>464</v>
      </c>
      <c r="F308" s="4" t="s">
        <v>1415</v>
      </c>
      <c r="G308" s="4"/>
      <c r="H308" s="4"/>
    </row>
    <row r="309" spans="1:8" ht="27.6">
      <c r="A309" s="4">
        <v>79</v>
      </c>
      <c r="B309" s="4" t="s">
        <v>301</v>
      </c>
      <c r="C309" s="4" t="s">
        <v>1925</v>
      </c>
      <c r="D309" s="4" t="s">
        <v>302</v>
      </c>
      <c r="E309" s="4" t="s">
        <v>2247</v>
      </c>
      <c r="F309" s="4" t="s">
        <v>1418</v>
      </c>
      <c r="G309" s="4" t="s">
        <v>235</v>
      </c>
      <c r="H309" s="4" t="s">
        <v>1927</v>
      </c>
    </row>
    <row r="310" spans="1:8">
      <c r="A310" s="4">
        <v>79</v>
      </c>
      <c r="B310" s="4" t="s">
        <v>301</v>
      </c>
      <c r="C310" s="4" t="s">
        <v>1925</v>
      </c>
      <c r="D310" s="4" t="s">
        <v>302</v>
      </c>
      <c r="E310" s="4" t="s">
        <v>2248</v>
      </c>
      <c r="F310" s="4" t="s">
        <v>2249</v>
      </c>
      <c r="G310" s="4"/>
      <c r="H310" s="4"/>
    </row>
    <row r="311" spans="1:8">
      <c r="A311" s="4">
        <v>79</v>
      </c>
      <c r="B311" s="4" t="s">
        <v>301</v>
      </c>
      <c r="C311" s="4" t="s">
        <v>1925</v>
      </c>
      <c r="D311" s="4" t="s">
        <v>302</v>
      </c>
      <c r="E311" s="4" t="s">
        <v>2250</v>
      </c>
      <c r="F311" s="4" t="s">
        <v>2251</v>
      </c>
      <c r="G311" s="4"/>
      <c r="H311" s="4"/>
    </row>
    <row r="312" spans="1:8">
      <c r="A312" s="4">
        <v>79</v>
      </c>
      <c r="B312" s="4" t="s">
        <v>301</v>
      </c>
      <c r="C312" s="4" t="s">
        <v>1930</v>
      </c>
      <c r="D312" s="4" t="s">
        <v>303</v>
      </c>
      <c r="E312" s="4" t="s">
        <v>303</v>
      </c>
      <c r="F312" s="4" t="s">
        <v>1322</v>
      </c>
      <c r="G312" s="4"/>
      <c r="H312" s="4"/>
    </row>
    <row r="313" spans="1:8" ht="27.6">
      <c r="A313" s="4">
        <v>80</v>
      </c>
      <c r="B313" s="4" t="s">
        <v>304</v>
      </c>
      <c r="C313" s="4" t="s">
        <v>1925</v>
      </c>
      <c r="D313" s="4" t="s">
        <v>305</v>
      </c>
      <c r="E313" s="4" t="s">
        <v>2252</v>
      </c>
      <c r="F313" s="4" t="s">
        <v>1419</v>
      </c>
      <c r="G313" s="4" t="s">
        <v>235</v>
      </c>
      <c r="H313" s="4" t="s">
        <v>1927</v>
      </c>
    </row>
    <row r="314" spans="1:8">
      <c r="A314" s="4">
        <v>80</v>
      </c>
      <c r="B314" s="4" t="s">
        <v>304</v>
      </c>
      <c r="C314" s="4" t="s">
        <v>1925</v>
      </c>
      <c r="D314" s="4" t="s">
        <v>305</v>
      </c>
      <c r="E314" s="4" t="s">
        <v>2253</v>
      </c>
      <c r="F314" s="4" t="s">
        <v>2254</v>
      </c>
      <c r="G314" s="4"/>
      <c r="H314" s="4"/>
    </row>
    <row r="315" spans="1:8">
      <c r="A315" s="4">
        <v>80</v>
      </c>
      <c r="B315" s="4" t="s">
        <v>304</v>
      </c>
      <c r="C315" s="4" t="s">
        <v>1930</v>
      </c>
      <c r="D315" s="4" t="s">
        <v>306</v>
      </c>
      <c r="E315" s="4" t="s">
        <v>306</v>
      </c>
      <c r="F315" s="4" t="s">
        <v>1420</v>
      </c>
      <c r="G315" s="4"/>
      <c r="H315" s="4"/>
    </row>
    <row r="316" spans="1:8">
      <c r="A316" s="4">
        <v>80</v>
      </c>
      <c r="B316" s="4" t="s">
        <v>304</v>
      </c>
      <c r="C316" s="4" t="s">
        <v>1936</v>
      </c>
      <c r="D316" s="4" t="s">
        <v>234</v>
      </c>
      <c r="E316" s="4" t="s">
        <v>871</v>
      </c>
      <c r="F316" s="4" t="s">
        <v>1382</v>
      </c>
      <c r="G316" s="4"/>
      <c r="H316" s="4"/>
    </row>
    <row r="317" spans="1:8" ht="27.6">
      <c r="A317" s="4">
        <v>81</v>
      </c>
      <c r="B317" s="4" t="s">
        <v>307</v>
      </c>
      <c r="C317" s="4" t="s">
        <v>1925</v>
      </c>
      <c r="D317" s="4" t="s">
        <v>308</v>
      </c>
      <c r="E317" s="4" t="s">
        <v>2255</v>
      </c>
      <c r="F317" s="4" t="s">
        <v>1421</v>
      </c>
      <c r="G317" s="4" t="s">
        <v>235</v>
      </c>
      <c r="H317" s="4" t="s">
        <v>1927</v>
      </c>
    </row>
    <row r="318" spans="1:8">
      <c r="A318" s="4">
        <v>81</v>
      </c>
      <c r="B318" s="4" t="s">
        <v>307</v>
      </c>
      <c r="C318" s="4" t="s">
        <v>1925</v>
      </c>
      <c r="D318" s="4" t="s">
        <v>308</v>
      </c>
      <c r="E318" s="4" t="s">
        <v>2256</v>
      </c>
      <c r="F318" s="4" t="s">
        <v>2257</v>
      </c>
      <c r="G318" s="4"/>
      <c r="H318" s="4"/>
    </row>
    <row r="319" spans="1:8">
      <c r="A319" s="4">
        <v>81</v>
      </c>
      <c r="B319" s="4" t="s">
        <v>307</v>
      </c>
      <c r="C319" s="4" t="s">
        <v>1925</v>
      </c>
      <c r="D319" s="4" t="s">
        <v>308</v>
      </c>
      <c r="E319" s="4" t="s">
        <v>2258</v>
      </c>
      <c r="F319" s="4" t="s">
        <v>2259</v>
      </c>
      <c r="G319" s="4"/>
      <c r="H319" s="4"/>
    </row>
    <row r="320" spans="1:8">
      <c r="A320" s="4">
        <v>81</v>
      </c>
      <c r="B320" s="4" t="s">
        <v>307</v>
      </c>
      <c r="C320" s="4" t="s">
        <v>1930</v>
      </c>
      <c r="D320" s="4" t="s">
        <v>309</v>
      </c>
      <c r="E320" s="4" t="s">
        <v>309</v>
      </c>
      <c r="F320" s="4" t="s">
        <v>1422</v>
      </c>
      <c r="G320" s="4"/>
      <c r="H320" s="4"/>
    </row>
    <row r="321" spans="1:8">
      <c r="A321" s="4">
        <v>81</v>
      </c>
      <c r="B321" s="4" t="s">
        <v>307</v>
      </c>
      <c r="C321" s="4" t="s">
        <v>1936</v>
      </c>
      <c r="D321" s="4" t="s">
        <v>234</v>
      </c>
      <c r="E321" s="4" t="s">
        <v>871</v>
      </c>
      <c r="F321" s="4" t="s">
        <v>1382</v>
      </c>
      <c r="G321" s="4"/>
      <c r="H321" s="4"/>
    </row>
    <row r="322" spans="1:8" ht="27.6">
      <c r="A322" s="4">
        <v>82</v>
      </c>
      <c r="B322" s="4" t="s">
        <v>310</v>
      </c>
      <c r="C322" s="4" t="s">
        <v>1925</v>
      </c>
      <c r="D322" s="4" t="s">
        <v>311</v>
      </c>
      <c r="E322" s="4" t="s">
        <v>2260</v>
      </c>
      <c r="F322" s="4" t="s">
        <v>1423</v>
      </c>
      <c r="G322" s="4" t="s">
        <v>235</v>
      </c>
      <c r="H322" s="4" t="s">
        <v>1927</v>
      </c>
    </row>
    <row r="323" spans="1:8">
      <c r="A323" s="4">
        <v>82</v>
      </c>
      <c r="B323" s="4" t="s">
        <v>310</v>
      </c>
      <c r="C323" s="4" t="s">
        <v>1925</v>
      </c>
      <c r="D323" s="4" t="s">
        <v>311</v>
      </c>
      <c r="E323" s="4" t="s">
        <v>2261</v>
      </c>
      <c r="F323" s="4" t="s">
        <v>2262</v>
      </c>
      <c r="G323" s="4"/>
      <c r="H323" s="4"/>
    </row>
    <row r="324" spans="1:8">
      <c r="A324" s="4">
        <v>82</v>
      </c>
      <c r="B324" s="4" t="s">
        <v>310</v>
      </c>
      <c r="C324" s="4" t="s">
        <v>1930</v>
      </c>
      <c r="D324" s="4" t="s">
        <v>312</v>
      </c>
      <c r="E324" s="4" t="s">
        <v>312</v>
      </c>
      <c r="F324" s="4" t="s">
        <v>1424</v>
      </c>
      <c r="G324" s="4"/>
      <c r="H324" s="4"/>
    </row>
    <row r="325" spans="1:8">
      <c r="A325" s="4">
        <v>82</v>
      </c>
      <c r="B325" s="4" t="s">
        <v>310</v>
      </c>
      <c r="C325" s="4" t="s">
        <v>1936</v>
      </c>
      <c r="D325" s="4" t="s">
        <v>234</v>
      </c>
      <c r="E325" s="4" t="s">
        <v>871</v>
      </c>
      <c r="F325" s="4" t="s">
        <v>1382</v>
      </c>
      <c r="G325" s="4"/>
      <c r="H325" s="4"/>
    </row>
    <row r="326" spans="1:8" ht="27.6">
      <c r="A326" s="4">
        <v>83</v>
      </c>
      <c r="B326" s="4" t="s">
        <v>313</v>
      </c>
      <c r="C326" s="4" t="s">
        <v>1925</v>
      </c>
      <c r="D326" s="4" t="s">
        <v>314</v>
      </c>
      <c r="E326" s="4" t="s">
        <v>2263</v>
      </c>
      <c r="F326" s="4" t="s">
        <v>1425</v>
      </c>
      <c r="G326" s="4" t="s">
        <v>34</v>
      </c>
      <c r="H326" s="4" t="s">
        <v>1927</v>
      </c>
    </row>
    <row r="327" spans="1:8">
      <c r="A327" s="4">
        <v>83</v>
      </c>
      <c r="B327" s="4" t="s">
        <v>313</v>
      </c>
      <c r="C327" s="4" t="s">
        <v>1925</v>
      </c>
      <c r="D327" s="4" t="s">
        <v>314</v>
      </c>
      <c r="E327" s="4" t="s">
        <v>2264</v>
      </c>
      <c r="F327" s="4" t="s">
        <v>2265</v>
      </c>
      <c r="G327" s="4"/>
      <c r="H327" s="4"/>
    </row>
    <row r="328" spans="1:8">
      <c r="A328" s="4">
        <v>83</v>
      </c>
      <c r="B328" s="4" t="s">
        <v>313</v>
      </c>
      <c r="C328" s="4" t="s">
        <v>1925</v>
      </c>
      <c r="D328" s="4" t="s">
        <v>314</v>
      </c>
      <c r="E328" s="4" t="s">
        <v>2266</v>
      </c>
      <c r="F328" s="4" t="s">
        <v>2267</v>
      </c>
      <c r="G328" s="4"/>
      <c r="H328" s="4"/>
    </row>
    <row r="329" spans="1:8">
      <c r="A329" s="4">
        <v>83</v>
      </c>
      <c r="B329" s="4" t="s">
        <v>313</v>
      </c>
      <c r="C329" s="4" t="s">
        <v>1930</v>
      </c>
      <c r="D329" s="4" t="s">
        <v>315</v>
      </c>
      <c r="E329" s="4" t="s">
        <v>315</v>
      </c>
      <c r="F329" s="4" t="s">
        <v>1426</v>
      </c>
      <c r="G329" s="4"/>
      <c r="H329" s="4"/>
    </row>
    <row r="330" spans="1:8" ht="27.6">
      <c r="A330" s="4">
        <v>84</v>
      </c>
      <c r="B330" s="4" t="s">
        <v>316</v>
      </c>
      <c r="C330" s="4" t="s">
        <v>1925</v>
      </c>
      <c r="D330" s="4" t="s">
        <v>317</v>
      </c>
      <c r="E330" s="4" t="s">
        <v>2268</v>
      </c>
      <c r="F330" s="4" t="s">
        <v>1427</v>
      </c>
      <c r="G330" s="4" t="s">
        <v>29</v>
      </c>
      <c r="H330" s="4" t="s">
        <v>1927</v>
      </c>
    </row>
    <row r="331" spans="1:8">
      <c r="A331" s="4">
        <v>84</v>
      </c>
      <c r="B331" s="4" t="s">
        <v>316</v>
      </c>
      <c r="C331" s="4" t="s">
        <v>1925</v>
      </c>
      <c r="D331" s="4" t="s">
        <v>317</v>
      </c>
      <c r="E331" s="4" t="s">
        <v>2269</v>
      </c>
      <c r="F331" s="4" t="s">
        <v>2270</v>
      </c>
      <c r="G331" s="4"/>
      <c r="H331" s="4"/>
    </row>
    <row r="332" spans="1:8">
      <c r="A332" s="4">
        <v>84</v>
      </c>
      <c r="B332" s="4" t="s">
        <v>316</v>
      </c>
      <c r="C332" s="4" t="s">
        <v>1930</v>
      </c>
      <c r="D332" s="4" t="s">
        <v>318</v>
      </c>
      <c r="E332" s="4" t="s">
        <v>318</v>
      </c>
      <c r="F332" s="4" t="s">
        <v>1428</v>
      </c>
      <c r="G332" s="4"/>
      <c r="H332" s="4"/>
    </row>
    <row r="333" spans="1:8">
      <c r="A333" s="4">
        <v>84</v>
      </c>
      <c r="B333" s="4" t="s">
        <v>316</v>
      </c>
      <c r="C333" s="4" t="s">
        <v>1936</v>
      </c>
      <c r="D333" s="4" t="s">
        <v>28</v>
      </c>
      <c r="E333" s="4" t="s">
        <v>877</v>
      </c>
      <c r="F333" s="4" t="s">
        <v>1273</v>
      </c>
      <c r="G333" s="4"/>
      <c r="H333" s="4"/>
    </row>
    <row r="334" spans="1:8" ht="27.6">
      <c r="A334" s="4">
        <v>85</v>
      </c>
      <c r="B334" s="4" t="s">
        <v>319</v>
      </c>
      <c r="C334" s="4" t="s">
        <v>1925</v>
      </c>
      <c r="D334" s="4" t="s">
        <v>320</v>
      </c>
      <c r="E334" s="4" t="s">
        <v>2271</v>
      </c>
      <c r="F334" s="4" t="s">
        <v>1429</v>
      </c>
      <c r="G334" s="4" t="s">
        <v>29</v>
      </c>
      <c r="H334" s="4" t="s">
        <v>1927</v>
      </c>
    </row>
    <row r="335" spans="1:8">
      <c r="A335" s="4">
        <v>85</v>
      </c>
      <c r="B335" s="4" t="s">
        <v>319</v>
      </c>
      <c r="C335" s="4" t="s">
        <v>1925</v>
      </c>
      <c r="D335" s="4" t="s">
        <v>320</v>
      </c>
      <c r="E335" s="4" t="s">
        <v>2272</v>
      </c>
      <c r="F335" s="4" t="s">
        <v>2273</v>
      </c>
      <c r="G335" s="4"/>
      <c r="H335" s="4"/>
    </row>
    <row r="336" spans="1:8">
      <c r="A336" s="4">
        <v>85</v>
      </c>
      <c r="B336" s="4" t="s">
        <v>319</v>
      </c>
      <c r="C336" s="4" t="s">
        <v>1925</v>
      </c>
      <c r="D336" s="4" t="s">
        <v>320</v>
      </c>
      <c r="E336" s="4" t="s">
        <v>2274</v>
      </c>
      <c r="F336" s="4" t="s">
        <v>2275</v>
      </c>
      <c r="G336" s="4"/>
      <c r="H336" s="4"/>
    </row>
    <row r="337" spans="1:8">
      <c r="A337" s="4">
        <v>85</v>
      </c>
      <c r="B337" s="4" t="s">
        <v>319</v>
      </c>
      <c r="C337" s="4" t="s">
        <v>1930</v>
      </c>
      <c r="D337" s="4" t="s">
        <v>321</v>
      </c>
      <c r="E337" s="4" t="s">
        <v>321</v>
      </c>
      <c r="F337" s="4" t="s">
        <v>1430</v>
      </c>
      <c r="G337" s="4"/>
      <c r="H337" s="4"/>
    </row>
    <row r="338" spans="1:8">
      <c r="A338" s="4">
        <v>85</v>
      </c>
      <c r="B338" s="4" t="s">
        <v>319</v>
      </c>
      <c r="C338" s="4" t="s">
        <v>1936</v>
      </c>
      <c r="D338" s="4" t="s">
        <v>28</v>
      </c>
      <c r="E338" s="4" t="s">
        <v>877</v>
      </c>
      <c r="F338" s="4" t="s">
        <v>1273</v>
      </c>
      <c r="G338" s="4"/>
      <c r="H338" s="4"/>
    </row>
    <row r="339" spans="1:8" ht="27.6">
      <c r="A339" s="4">
        <v>86</v>
      </c>
      <c r="B339" s="4" t="s">
        <v>322</v>
      </c>
      <c r="C339" s="4" t="s">
        <v>1925</v>
      </c>
      <c r="D339" s="4" t="s">
        <v>323</v>
      </c>
      <c r="E339" s="4" t="s">
        <v>2276</v>
      </c>
      <c r="F339" s="4" t="s">
        <v>1431</v>
      </c>
      <c r="G339" s="4" t="s">
        <v>254</v>
      </c>
      <c r="H339" s="4" t="s">
        <v>1927</v>
      </c>
    </row>
    <row r="340" spans="1:8">
      <c r="A340" s="4">
        <v>86</v>
      </c>
      <c r="B340" s="4" t="s">
        <v>322</v>
      </c>
      <c r="C340" s="4" t="s">
        <v>1925</v>
      </c>
      <c r="D340" s="4" t="s">
        <v>323</v>
      </c>
      <c r="E340" s="4" t="s">
        <v>2277</v>
      </c>
      <c r="F340" s="4" t="s">
        <v>2278</v>
      </c>
      <c r="G340" s="4"/>
      <c r="H340" s="4"/>
    </row>
    <row r="341" spans="1:8">
      <c r="A341" s="4">
        <v>86</v>
      </c>
      <c r="B341" s="4" t="s">
        <v>322</v>
      </c>
      <c r="C341" s="4" t="s">
        <v>1930</v>
      </c>
      <c r="D341" s="4" t="s">
        <v>253</v>
      </c>
      <c r="E341" s="4" t="s">
        <v>384</v>
      </c>
      <c r="F341" s="4" t="s">
        <v>1392</v>
      </c>
      <c r="G341" s="4"/>
      <c r="H341" s="4"/>
    </row>
    <row r="342" spans="1:8" ht="27.6">
      <c r="A342" s="4">
        <v>87</v>
      </c>
      <c r="B342" s="4" t="s">
        <v>324</v>
      </c>
      <c r="C342" s="4" t="s">
        <v>1925</v>
      </c>
      <c r="D342" s="4" t="s">
        <v>325</v>
      </c>
      <c r="E342" s="4" t="s">
        <v>2279</v>
      </c>
      <c r="F342" s="4" t="s">
        <v>1432</v>
      </c>
      <c r="G342" s="4" t="s">
        <v>254</v>
      </c>
      <c r="H342" s="4" t="s">
        <v>1927</v>
      </c>
    </row>
    <row r="343" spans="1:8">
      <c r="A343" s="4">
        <v>87</v>
      </c>
      <c r="B343" s="4" t="s">
        <v>324</v>
      </c>
      <c r="C343" s="4" t="s">
        <v>1925</v>
      </c>
      <c r="D343" s="4" t="s">
        <v>325</v>
      </c>
      <c r="E343" s="4" t="s">
        <v>2280</v>
      </c>
      <c r="F343" s="4" t="s">
        <v>2281</v>
      </c>
      <c r="G343" s="4"/>
      <c r="H343" s="4"/>
    </row>
    <row r="344" spans="1:8">
      <c r="A344" s="4">
        <v>87</v>
      </c>
      <c r="B344" s="4" t="s">
        <v>324</v>
      </c>
      <c r="C344" s="4" t="s">
        <v>1925</v>
      </c>
      <c r="D344" s="4" t="s">
        <v>325</v>
      </c>
      <c r="E344" s="4" t="s">
        <v>2282</v>
      </c>
      <c r="F344" s="4" t="s">
        <v>2283</v>
      </c>
      <c r="G344" s="4"/>
      <c r="H344" s="4"/>
    </row>
    <row r="345" spans="1:8">
      <c r="A345" s="4">
        <v>87</v>
      </c>
      <c r="B345" s="4" t="s">
        <v>324</v>
      </c>
      <c r="C345" s="4" t="s">
        <v>1930</v>
      </c>
      <c r="D345" s="4" t="s">
        <v>326</v>
      </c>
      <c r="E345" s="4" t="s">
        <v>326</v>
      </c>
      <c r="F345" s="4" t="s">
        <v>1433</v>
      </c>
      <c r="G345" s="4"/>
      <c r="H345" s="4"/>
    </row>
    <row r="346" spans="1:8">
      <c r="A346" s="4">
        <v>87</v>
      </c>
      <c r="B346" s="4" t="s">
        <v>324</v>
      </c>
      <c r="C346" s="4" t="s">
        <v>1936</v>
      </c>
      <c r="D346" s="4" t="s">
        <v>253</v>
      </c>
      <c r="E346" s="4" t="s">
        <v>384</v>
      </c>
      <c r="F346" s="4" t="s">
        <v>1392</v>
      </c>
      <c r="G346" s="4"/>
      <c r="H346" s="4"/>
    </row>
    <row r="347" spans="1:8" ht="27.6">
      <c r="A347" s="4">
        <v>88</v>
      </c>
      <c r="B347" s="4" t="s">
        <v>327</v>
      </c>
      <c r="C347" s="4" t="s">
        <v>1925</v>
      </c>
      <c r="D347" s="4" t="s">
        <v>328</v>
      </c>
      <c r="E347" s="4" t="s">
        <v>2284</v>
      </c>
      <c r="F347" s="4" t="s">
        <v>1434</v>
      </c>
      <c r="G347" s="4" t="s">
        <v>29</v>
      </c>
      <c r="H347" s="4" t="s">
        <v>1927</v>
      </c>
    </row>
    <row r="348" spans="1:8">
      <c r="A348" s="4">
        <v>88</v>
      </c>
      <c r="B348" s="4" t="s">
        <v>327</v>
      </c>
      <c r="C348" s="4" t="s">
        <v>1925</v>
      </c>
      <c r="D348" s="4" t="s">
        <v>328</v>
      </c>
      <c r="E348" s="4" t="s">
        <v>2285</v>
      </c>
      <c r="F348" s="4" t="s">
        <v>2286</v>
      </c>
      <c r="G348" s="4"/>
      <c r="H348" s="4"/>
    </row>
    <row r="349" spans="1:8">
      <c r="A349" s="4">
        <v>88</v>
      </c>
      <c r="B349" s="4" t="s">
        <v>327</v>
      </c>
      <c r="C349" s="4" t="s">
        <v>1930</v>
      </c>
      <c r="D349" s="4" t="s">
        <v>329</v>
      </c>
      <c r="E349" s="4" t="s">
        <v>329</v>
      </c>
      <c r="F349" s="4" t="s">
        <v>1435</v>
      </c>
      <c r="G349" s="4"/>
      <c r="H349" s="4"/>
    </row>
    <row r="350" spans="1:8">
      <c r="A350" s="4">
        <v>88</v>
      </c>
      <c r="B350" s="4" t="s">
        <v>327</v>
      </c>
      <c r="C350" s="4" t="s">
        <v>1936</v>
      </c>
      <c r="D350" s="4" t="s">
        <v>28</v>
      </c>
      <c r="E350" s="4" t="s">
        <v>877</v>
      </c>
      <c r="F350" s="4" t="s">
        <v>1273</v>
      </c>
      <c r="G350" s="4"/>
      <c r="H350" s="4"/>
    </row>
    <row r="351" spans="1:8" ht="27.6">
      <c r="A351" s="4">
        <v>89</v>
      </c>
      <c r="B351" s="4" t="s">
        <v>330</v>
      </c>
      <c r="C351" s="4" t="s">
        <v>1925</v>
      </c>
      <c r="D351" s="4" t="s">
        <v>331</v>
      </c>
      <c r="E351" s="4" t="s">
        <v>2287</v>
      </c>
      <c r="F351" s="4" t="s">
        <v>1436</v>
      </c>
      <c r="G351" s="4" t="s">
        <v>29</v>
      </c>
      <c r="H351" s="4" t="s">
        <v>1927</v>
      </c>
    </row>
    <row r="352" spans="1:8">
      <c r="A352" s="4">
        <v>89</v>
      </c>
      <c r="B352" s="4" t="s">
        <v>330</v>
      </c>
      <c r="C352" s="4" t="s">
        <v>1925</v>
      </c>
      <c r="D352" s="4" t="s">
        <v>331</v>
      </c>
      <c r="E352" s="4" t="s">
        <v>2288</v>
      </c>
      <c r="F352" s="4" t="s">
        <v>2289</v>
      </c>
      <c r="G352" s="4"/>
      <c r="H352" s="4"/>
    </row>
    <row r="353" spans="1:8">
      <c r="A353" s="4">
        <v>89</v>
      </c>
      <c r="B353" s="4" t="s">
        <v>330</v>
      </c>
      <c r="C353" s="4" t="s">
        <v>1925</v>
      </c>
      <c r="D353" s="4" t="s">
        <v>331</v>
      </c>
      <c r="E353" s="4" t="s">
        <v>2290</v>
      </c>
      <c r="F353" s="4" t="s">
        <v>2291</v>
      </c>
      <c r="G353" s="4"/>
      <c r="H353" s="4"/>
    </row>
    <row r="354" spans="1:8">
      <c r="A354" s="4">
        <v>89</v>
      </c>
      <c r="B354" s="4" t="s">
        <v>330</v>
      </c>
      <c r="C354" s="4" t="s">
        <v>1930</v>
      </c>
      <c r="D354" s="4" t="s">
        <v>332</v>
      </c>
      <c r="E354" s="4" t="s">
        <v>332</v>
      </c>
      <c r="F354" s="4" t="s">
        <v>1437</v>
      </c>
      <c r="G354" s="4"/>
      <c r="H354" s="4"/>
    </row>
    <row r="355" spans="1:8">
      <c r="A355" s="4">
        <v>89</v>
      </c>
      <c r="B355" s="4" t="s">
        <v>330</v>
      </c>
      <c r="C355" s="4" t="s">
        <v>1936</v>
      </c>
      <c r="D355" s="4" t="s">
        <v>28</v>
      </c>
      <c r="E355" s="4" t="s">
        <v>877</v>
      </c>
      <c r="F355" s="4" t="s">
        <v>1273</v>
      </c>
      <c r="G355" s="4"/>
      <c r="H355" s="4"/>
    </row>
    <row r="356" spans="1:8" ht="27.6">
      <c r="A356" s="4">
        <v>90</v>
      </c>
      <c r="B356" s="4" t="s">
        <v>333</v>
      </c>
      <c r="C356" s="4" t="s">
        <v>1925</v>
      </c>
      <c r="D356" s="4" t="s">
        <v>334</v>
      </c>
      <c r="E356" s="4" t="s">
        <v>2292</v>
      </c>
      <c r="F356" s="4" t="s">
        <v>1438</v>
      </c>
      <c r="G356" s="4" t="s">
        <v>254</v>
      </c>
      <c r="H356" s="4" t="s">
        <v>1927</v>
      </c>
    </row>
    <row r="357" spans="1:8">
      <c r="A357" s="4">
        <v>90</v>
      </c>
      <c r="B357" s="4" t="s">
        <v>333</v>
      </c>
      <c r="C357" s="4" t="s">
        <v>1925</v>
      </c>
      <c r="D357" s="4" t="s">
        <v>334</v>
      </c>
      <c r="E357" s="4" t="s">
        <v>2293</v>
      </c>
      <c r="F357" s="4" t="s">
        <v>2294</v>
      </c>
      <c r="G357" s="4"/>
      <c r="H357" s="4"/>
    </row>
    <row r="358" spans="1:8">
      <c r="A358" s="4">
        <v>90</v>
      </c>
      <c r="B358" s="4" t="s">
        <v>333</v>
      </c>
      <c r="C358" s="4" t="s">
        <v>1925</v>
      </c>
      <c r="D358" s="4" t="s">
        <v>334</v>
      </c>
      <c r="E358" s="4" t="s">
        <v>2295</v>
      </c>
      <c r="F358" s="4" t="s">
        <v>2296</v>
      </c>
      <c r="G358" s="4"/>
      <c r="H358" s="4"/>
    </row>
    <row r="359" spans="1:8">
      <c r="A359" s="4">
        <v>90</v>
      </c>
      <c r="B359" s="4" t="s">
        <v>333</v>
      </c>
      <c r="C359" s="4" t="s">
        <v>1930</v>
      </c>
      <c r="D359" s="4" t="s">
        <v>335</v>
      </c>
      <c r="E359" s="4" t="s">
        <v>335</v>
      </c>
      <c r="F359" s="4" t="s">
        <v>1439</v>
      </c>
      <c r="G359" s="4"/>
      <c r="H359" s="4"/>
    </row>
    <row r="360" spans="1:8" ht="27.6">
      <c r="A360" s="4">
        <v>91</v>
      </c>
      <c r="B360" s="4" t="s">
        <v>336</v>
      </c>
      <c r="C360" s="4" t="s">
        <v>1925</v>
      </c>
      <c r="D360" s="4" t="s">
        <v>337</v>
      </c>
      <c r="E360" s="4" t="s">
        <v>2297</v>
      </c>
      <c r="F360" s="4" t="s">
        <v>1440</v>
      </c>
      <c r="G360" s="4" t="s">
        <v>254</v>
      </c>
      <c r="H360" s="4" t="s">
        <v>1927</v>
      </c>
    </row>
    <row r="361" spans="1:8">
      <c r="A361" s="4">
        <v>91</v>
      </c>
      <c r="B361" s="4" t="s">
        <v>336</v>
      </c>
      <c r="C361" s="4" t="s">
        <v>1925</v>
      </c>
      <c r="D361" s="4" t="s">
        <v>337</v>
      </c>
      <c r="E361" s="4" t="s">
        <v>2298</v>
      </c>
      <c r="F361" s="4" t="s">
        <v>2299</v>
      </c>
      <c r="G361" s="4"/>
      <c r="H361" s="4"/>
    </row>
    <row r="362" spans="1:8">
      <c r="A362" s="4">
        <v>91</v>
      </c>
      <c r="B362" s="4" t="s">
        <v>336</v>
      </c>
      <c r="C362" s="4" t="s">
        <v>1930</v>
      </c>
      <c r="D362" s="4" t="s">
        <v>338</v>
      </c>
      <c r="E362" s="4" t="s">
        <v>338</v>
      </c>
      <c r="F362" s="4" t="s">
        <v>1441</v>
      </c>
      <c r="G362" s="4"/>
      <c r="H362" s="4"/>
    </row>
    <row r="363" spans="1:8" ht="27.6">
      <c r="A363" s="4">
        <v>92</v>
      </c>
      <c r="B363" s="4" t="s">
        <v>339</v>
      </c>
      <c r="C363" s="4" t="s">
        <v>1925</v>
      </c>
      <c r="D363" s="4" t="s">
        <v>340</v>
      </c>
      <c r="E363" s="4" t="s">
        <v>2300</v>
      </c>
      <c r="F363" s="4" t="s">
        <v>1442</v>
      </c>
      <c r="G363" s="4" t="s">
        <v>211</v>
      </c>
      <c r="H363" s="4" t="s">
        <v>1927</v>
      </c>
    </row>
    <row r="364" spans="1:8">
      <c r="A364" s="4">
        <v>92</v>
      </c>
      <c r="B364" s="4" t="s">
        <v>339</v>
      </c>
      <c r="C364" s="4" t="s">
        <v>1925</v>
      </c>
      <c r="D364" s="4" t="s">
        <v>340</v>
      </c>
      <c r="E364" s="4" t="s">
        <v>2301</v>
      </c>
      <c r="F364" s="4" t="s">
        <v>2302</v>
      </c>
      <c r="G364" s="4"/>
      <c r="H364" s="4"/>
    </row>
    <row r="365" spans="1:8">
      <c r="A365" s="4">
        <v>92</v>
      </c>
      <c r="B365" s="4" t="s">
        <v>339</v>
      </c>
      <c r="C365" s="4" t="s">
        <v>1925</v>
      </c>
      <c r="D365" s="4" t="s">
        <v>340</v>
      </c>
      <c r="E365" s="4" t="s">
        <v>2303</v>
      </c>
      <c r="F365" s="4" t="s">
        <v>2304</v>
      </c>
      <c r="G365" s="4"/>
      <c r="H365" s="4"/>
    </row>
    <row r="366" spans="1:8">
      <c r="A366" s="4">
        <v>92</v>
      </c>
      <c r="B366" s="4" t="s">
        <v>339</v>
      </c>
      <c r="C366" s="4" t="s">
        <v>1930</v>
      </c>
      <c r="D366" s="4" t="s">
        <v>341</v>
      </c>
      <c r="E366" s="4" t="s">
        <v>341</v>
      </c>
      <c r="F366" s="4" t="s">
        <v>1443</v>
      </c>
      <c r="G366" s="4"/>
      <c r="H366" s="4"/>
    </row>
    <row r="367" spans="1:8">
      <c r="A367" s="4">
        <v>92</v>
      </c>
      <c r="B367" s="4" t="s">
        <v>339</v>
      </c>
      <c r="C367" s="4" t="s">
        <v>1936</v>
      </c>
      <c r="D367" s="4" t="s">
        <v>342</v>
      </c>
      <c r="E367" s="4" t="s">
        <v>1068</v>
      </c>
      <c r="F367" s="4" t="s">
        <v>1444</v>
      </c>
      <c r="G367" s="4"/>
      <c r="H367" s="4"/>
    </row>
    <row r="368" spans="1:8" ht="27.6">
      <c r="A368" s="4">
        <v>93</v>
      </c>
      <c r="B368" s="4" t="s">
        <v>343</v>
      </c>
      <c r="C368" s="4" t="s">
        <v>1925</v>
      </c>
      <c r="D368" s="4" t="s">
        <v>344</v>
      </c>
      <c r="E368" s="4" t="s">
        <v>2305</v>
      </c>
      <c r="F368" s="4" t="s">
        <v>1445</v>
      </c>
      <c r="G368" s="4" t="s">
        <v>211</v>
      </c>
      <c r="H368" s="4" t="s">
        <v>1927</v>
      </c>
    </row>
    <row r="369" spans="1:8">
      <c r="A369" s="4">
        <v>93</v>
      </c>
      <c r="B369" s="4" t="s">
        <v>343</v>
      </c>
      <c r="C369" s="4" t="s">
        <v>1925</v>
      </c>
      <c r="D369" s="4" t="s">
        <v>344</v>
      </c>
      <c r="E369" s="4" t="s">
        <v>2306</v>
      </c>
      <c r="F369" s="4" t="s">
        <v>2307</v>
      </c>
      <c r="G369" s="4"/>
      <c r="H369" s="4"/>
    </row>
    <row r="370" spans="1:8">
      <c r="A370" s="4">
        <v>93</v>
      </c>
      <c r="B370" s="4" t="s">
        <v>343</v>
      </c>
      <c r="C370" s="4" t="s">
        <v>1930</v>
      </c>
      <c r="D370" s="4" t="s">
        <v>345</v>
      </c>
      <c r="E370" s="4" t="s">
        <v>345</v>
      </c>
      <c r="F370" s="4" t="s">
        <v>1446</v>
      </c>
      <c r="G370" s="4"/>
      <c r="H370" s="4"/>
    </row>
    <row r="371" spans="1:8" ht="27.6">
      <c r="A371" s="4">
        <v>94</v>
      </c>
      <c r="B371" s="4" t="s">
        <v>346</v>
      </c>
      <c r="C371" s="4" t="s">
        <v>1925</v>
      </c>
      <c r="D371" s="4" t="s">
        <v>347</v>
      </c>
      <c r="E371" s="4" t="s">
        <v>2308</v>
      </c>
      <c r="F371" s="4" t="s">
        <v>1447</v>
      </c>
      <c r="G371" s="4" t="s">
        <v>166</v>
      </c>
      <c r="H371" s="4" t="s">
        <v>1927</v>
      </c>
    </row>
    <row r="372" spans="1:8">
      <c r="A372" s="4">
        <v>94</v>
      </c>
      <c r="B372" s="4" t="s">
        <v>346</v>
      </c>
      <c r="C372" s="4" t="s">
        <v>1925</v>
      </c>
      <c r="D372" s="4" t="s">
        <v>347</v>
      </c>
      <c r="E372" s="4" t="s">
        <v>2309</v>
      </c>
      <c r="F372" s="4" t="s">
        <v>2310</v>
      </c>
      <c r="G372" s="4"/>
      <c r="H372" s="4"/>
    </row>
    <row r="373" spans="1:8">
      <c r="A373" s="4">
        <v>94</v>
      </c>
      <c r="B373" s="4" t="s">
        <v>346</v>
      </c>
      <c r="C373" s="4" t="s">
        <v>1925</v>
      </c>
      <c r="D373" s="4" t="s">
        <v>347</v>
      </c>
      <c r="E373" s="4" t="s">
        <v>2311</v>
      </c>
      <c r="F373" s="4" t="s">
        <v>2312</v>
      </c>
      <c r="G373" s="4"/>
      <c r="H373" s="4"/>
    </row>
    <row r="374" spans="1:8">
      <c r="A374" s="4">
        <v>94</v>
      </c>
      <c r="B374" s="4" t="s">
        <v>346</v>
      </c>
      <c r="C374" s="4" t="s">
        <v>1930</v>
      </c>
      <c r="D374" s="4" t="s">
        <v>348</v>
      </c>
      <c r="E374" s="4" t="s">
        <v>348</v>
      </c>
      <c r="F374" s="4" t="s">
        <v>1448</v>
      </c>
      <c r="G374" s="4"/>
      <c r="H374" s="4"/>
    </row>
    <row r="375" spans="1:8">
      <c r="A375" s="4">
        <v>94</v>
      </c>
      <c r="B375" s="4" t="s">
        <v>346</v>
      </c>
      <c r="C375" s="4" t="s">
        <v>1936</v>
      </c>
      <c r="D375" s="4" t="s">
        <v>165</v>
      </c>
      <c r="E375" s="4" t="s">
        <v>962</v>
      </c>
      <c r="F375" s="4" t="s">
        <v>1344</v>
      </c>
      <c r="G375" s="4"/>
      <c r="H375" s="4"/>
    </row>
    <row r="376" spans="1:8" ht="27.6">
      <c r="A376" s="4">
        <v>95</v>
      </c>
      <c r="B376" s="4" t="s">
        <v>349</v>
      </c>
      <c r="C376" s="4" t="s">
        <v>1925</v>
      </c>
      <c r="D376" s="4" t="s">
        <v>350</v>
      </c>
      <c r="E376" s="4" t="s">
        <v>2313</v>
      </c>
      <c r="F376" s="4" t="s">
        <v>1449</v>
      </c>
      <c r="G376" s="4" t="s">
        <v>166</v>
      </c>
      <c r="H376" s="4" t="s">
        <v>1927</v>
      </c>
    </row>
    <row r="377" spans="1:8">
      <c r="A377" s="4">
        <v>95</v>
      </c>
      <c r="B377" s="4" t="s">
        <v>349</v>
      </c>
      <c r="C377" s="4" t="s">
        <v>1925</v>
      </c>
      <c r="D377" s="4" t="s">
        <v>350</v>
      </c>
      <c r="E377" s="4" t="s">
        <v>2314</v>
      </c>
      <c r="F377" s="4" t="s">
        <v>2315</v>
      </c>
      <c r="G377" s="4"/>
      <c r="H377" s="4"/>
    </row>
    <row r="378" spans="1:8">
      <c r="A378" s="4">
        <v>95</v>
      </c>
      <c r="B378" s="4" t="s">
        <v>349</v>
      </c>
      <c r="C378" s="4" t="s">
        <v>1930</v>
      </c>
      <c r="D378" s="4" t="s">
        <v>351</v>
      </c>
      <c r="E378" s="4" t="s">
        <v>351</v>
      </c>
      <c r="F378" s="4" t="s">
        <v>1450</v>
      </c>
      <c r="G378" s="4"/>
      <c r="H378" s="4"/>
    </row>
    <row r="379" spans="1:8">
      <c r="A379" s="4">
        <v>95</v>
      </c>
      <c r="B379" s="4" t="s">
        <v>349</v>
      </c>
      <c r="C379" s="4" t="s">
        <v>1936</v>
      </c>
      <c r="D379" s="4" t="s">
        <v>165</v>
      </c>
      <c r="E379" s="4" t="s">
        <v>962</v>
      </c>
      <c r="F379" s="4" t="s">
        <v>1344</v>
      </c>
      <c r="G379" s="4"/>
      <c r="H379" s="4"/>
    </row>
    <row r="380" spans="1:8" ht="27.6">
      <c r="A380" s="4">
        <v>96</v>
      </c>
      <c r="B380" s="4" t="s">
        <v>352</v>
      </c>
      <c r="C380" s="4" t="s">
        <v>1925</v>
      </c>
      <c r="D380" s="4" t="s">
        <v>353</v>
      </c>
      <c r="E380" s="4" t="s">
        <v>2316</v>
      </c>
      <c r="F380" s="4" t="s">
        <v>1451</v>
      </c>
      <c r="G380" s="4" t="s">
        <v>254</v>
      </c>
      <c r="H380" s="4" t="s">
        <v>1927</v>
      </c>
    </row>
    <row r="381" spans="1:8">
      <c r="A381" s="4">
        <v>96</v>
      </c>
      <c r="B381" s="4" t="s">
        <v>352</v>
      </c>
      <c r="C381" s="4" t="s">
        <v>1925</v>
      </c>
      <c r="D381" s="4" t="s">
        <v>353</v>
      </c>
      <c r="E381" s="4" t="s">
        <v>2317</v>
      </c>
      <c r="F381" s="4" t="s">
        <v>2318</v>
      </c>
      <c r="G381" s="4"/>
      <c r="H381" s="4"/>
    </row>
    <row r="382" spans="1:8">
      <c r="A382" s="4">
        <v>96</v>
      </c>
      <c r="B382" s="4" t="s">
        <v>352</v>
      </c>
      <c r="C382" s="4" t="s">
        <v>1925</v>
      </c>
      <c r="D382" s="4" t="s">
        <v>353</v>
      </c>
      <c r="E382" s="4" t="s">
        <v>2319</v>
      </c>
      <c r="F382" s="4" t="s">
        <v>2320</v>
      </c>
      <c r="G382" s="4"/>
      <c r="H382" s="4"/>
    </row>
    <row r="383" spans="1:8">
      <c r="A383" s="4">
        <v>96</v>
      </c>
      <c r="B383" s="4" t="s">
        <v>352</v>
      </c>
      <c r="C383" s="4" t="s">
        <v>1930</v>
      </c>
      <c r="D383" s="4" t="s">
        <v>354</v>
      </c>
      <c r="E383" s="4" t="s">
        <v>354</v>
      </c>
      <c r="F383" s="4" t="s">
        <v>1452</v>
      </c>
      <c r="G383" s="4"/>
      <c r="H383" s="4"/>
    </row>
    <row r="384" spans="1:8" ht="27.6">
      <c r="A384" s="4">
        <v>97</v>
      </c>
      <c r="B384" s="4" t="s">
        <v>355</v>
      </c>
      <c r="C384" s="4" t="s">
        <v>1925</v>
      </c>
      <c r="D384" s="4" t="s">
        <v>356</v>
      </c>
      <c r="E384" s="4" t="s">
        <v>2321</v>
      </c>
      <c r="F384" s="4" t="s">
        <v>1453</v>
      </c>
      <c r="G384" s="4" t="s">
        <v>254</v>
      </c>
      <c r="H384" s="4" t="s">
        <v>1927</v>
      </c>
    </row>
    <row r="385" spans="1:8">
      <c r="A385" s="4">
        <v>97</v>
      </c>
      <c r="B385" s="4" t="s">
        <v>355</v>
      </c>
      <c r="C385" s="4" t="s">
        <v>1925</v>
      </c>
      <c r="D385" s="4" t="s">
        <v>356</v>
      </c>
      <c r="E385" s="4" t="s">
        <v>2322</v>
      </c>
      <c r="F385" s="4" t="s">
        <v>2323</v>
      </c>
      <c r="G385" s="4"/>
      <c r="H385" s="4"/>
    </row>
    <row r="386" spans="1:8">
      <c r="A386" s="4">
        <v>97</v>
      </c>
      <c r="B386" s="4" t="s">
        <v>355</v>
      </c>
      <c r="C386" s="4" t="s">
        <v>1930</v>
      </c>
      <c r="D386" s="4" t="s">
        <v>253</v>
      </c>
      <c r="E386" s="4" t="s">
        <v>384</v>
      </c>
      <c r="F386" s="4" t="s">
        <v>1392</v>
      </c>
      <c r="G386" s="4"/>
      <c r="H386" s="4"/>
    </row>
    <row r="387" spans="1:8" ht="27.6">
      <c r="A387" s="4">
        <v>98</v>
      </c>
      <c r="B387" s="4" t="s">
        <v>357</v>
      </c>
      <c r="C387" s="4" t="s">
        <v>1925</v>
      </c>
      <c r="D387" s="4" t="s">
        <v>358</v>
      </c>
      <c r="E387" s="4" t="s">
        <v>2324</v>
      </c>
      <c r="F387" s="4" t="s">
        <v>1454</v>
      </c>
      <c r="G387" s="4" t="s">
        <v>254</v>
      </c>
      <c r="H387" s="4" t="s">
        <v>1927</v>
      </c>
    </row>
    <row r="388" spans="1:8">
      <c r="A388" s="4">
        <v>98</v>
      </c>
      <c r="B388" s="4" t="s">
        <v>357</v>
      </c>
      <c r="C388" s="4" t="s">
        <v>1925</v>
      </c>
      <c r="D388" s="4" t="s">
        <v>358</v>
      </c>
      <c r="E388" s="4" t="s">
        <v>2325</v>
      </c>
      <c r="F388" s="4" t="s">
        <v>2326</v>
      </c>
      <c r="G388" s="4"/>
      <c r="H388" s="4"/>
    </row>
    <row r="389" spans="1:8">
      <c r="A389" s="4">
        <v>98</v>
      </c>
      <c r="B389" s="4" t="s">
        <v>357</v>
      </c>
      <c r="C389" s="4" t="s">
        <v>1925</v>
      </c>
      <c r="D389" s="4" t="s">
        <v>358</v>
      </c>
      <c r="E389" s="4" t="s">
        <v>2327</v>
      </c>
      <c r="F389" s="4" t="s">
        <v>2328</v>
      </c>
      <c r="G389" s="4"/>
      <c r="H389" s="4"/>
    </row>
    <row r="390" spans="1:8">
      <c r="A390" s="4">
        <v>98</v>
      </c>
      <c r="B390" s="4" t="s">
        <v>357</v>
      </c>
      <c r="C390" s="4" t="s">
        <v>1930</v>
      </c>
      <c r="D390" s="4" t="s">
        <v>253</v>
      </c>
      <c r="E390" s="4" t="s">
        <v>384</v>
      </c>
      <c r="F390" s="4" t="s">
        <v>1392</v>
      </c>
      <c r="G390" s="4"/>
      <c r="H390" s="4"/>
    </row>
    <row r="391" spans="1:8" ht="27.6">
      <c r="A391" s="4">
        <v>99</v>
      </c>
      <c r="B391" s="4" t="s">
        <v>359</v>
      </c>
      <c r="C391" s="4" t="s">
        <v>1925</v>
      </c>
      <c r="D391" s="4" t="s">
        <v>360</v>
      </c>
      <c r="E391" s="4" t="s">
        <v>2329</v>
      </c>
      <c r="F391" s="4" t="s">
        <v>1455</v>
      </c>
      <c r="G391" s="4" t="s">
        <v>254</v>
      </c>
      <c r="H391" s="4" t="s">
        <v>1927</v>
      </c>
    </row>
    <row r="392" spans="1:8">
      <c r="A392" s="4">
        <v>99</v>
      </c>
      <c r="B392" s="4" t="s">
        <v>359</v>
      </c>
      <c r="C392" s="4" t="s">
        <v>1925</v>
      </c>
      <c r="D392" s="4" t="s">
        <v>360</v>
      </c>
      <c r="E392" s="4" t="s">
        <v>2330</v>
      </c>
      <c r="F392" s="4" t="s">
        <v>2331</v>
      </c>
      <c r="G392" s="4"/>
      <c r="H392" s="4"/>
    </row>
    <row r="393" spans="1:8">
      <c r="A393" s="4">
        <v>99</v>
      </c>
      <c r="B393" s="4" t="s">
        <v>359</v>
      </c>
      <c r="C393" s="4" t="s">
        <v>1930</v>
      </c>
      <c r="D393" s="4" t="s">
        <v>253</v>
      </c>
      <c r="E393" s="4" t="s">
        <v>384</v>
      </c>
      <c r="F393" s="4" t="s">
        <v>1392</v>
      </c>
      <c r="G393" s="4"/>
      <c r="H393" s="4"/>
    </row>
    <row r="394" spans="1:8" ht="27.6">
      <c r="A394" s="4">
        <v>100</v>
      </c>
      <c r="B394" s="4" t="s">
        <v>361</v>
      </c>
      <c r="C394" s="4" t="s">
        <v>1925</v>
      </c>
      <c r="D394" s="4" t="s">
        <v>362</v>
      </c>
      <c r="E394" s="4" t="s">
        <v>2332</v>
      </c>
      <c r="F394" s="4" t="s">
        <v>1456</v>
      </c>
      <c r="G394" s="4" t="s">
        <v>211</v>
      </c>
      <c r="H394" s="4" t="s">
        <v>1927</v>
      </c>
    </row>
    <row r="395" spans="1:8">
      <c r="A395" s="4">
        <v>100</v>
      </c>
      <c r="B395" s="4" t="s">
        <v>361</v>
      </c>
      <c r="C395" s="4" t="s">
        <v>1925</v>
      </c>
      <c r="D395" s="4" t="s">
        <v>362</v>
      </c>
      <c r="E395" s="4" t="s">
        <v>2333</v>
      </c>
      <c r="F395" s="4" t="s">
        <v>2334</v>
      </c>
      <c r="G395" s="4"/>
      <c r="H395" s="4"/>
    </row>
    <row r="396" spans="1:8">
      <c r="A396" s="4">
        <v>100</v>
      </c>
      <c r="B396" s="4" t="s">
        <v>361</v>
      </c>
      <c r="C396" s="4" t="s">
        <v>1925</v>
      </c>
      <c r="D396" s="4" t="s">
        <v>362</v>
      </c>
      <c r="E396" s="4" t="s">
        <v>2335</v>
      </c>
      <c r="F396" s="4" t="s">
        <v>2336</v>
      </c>
      <c r="G396" s="4"/>
      <c r="H396" s="4"/>
    </row>
    <row r="397" spans="1:8">
      <c r="A397" s="4">
        <v>100</v>
      </c>
      <c r="B397" s="4" t="s">
        <v>361</v>
      </c>
      <c r="C397" s="4" t="s">
        <v>1930</v>
      </c>
      <c r="D397" s="4" t="s">
        <v>363</v>
      </c>
      <c r="E397" s="4" t="s">
        <v>363</v>
      </c>
      <c r="F397" s="4" t="s">
        <v>1457</v>
      </c>
      <c r="G397" s="4"/>
      <c r="H397" s="4"/>
    </row>
    <row r="398" spans="1:8" ht="27.6">
      <c r="A398" s="4">
        <v>101</v>
      </c>
      <c r="B398" s="4" t="s">
        <v>364</v>
      </c>
      <c r="C398" s="4" t="s">
        <v>1925</v>
      </c>
      <c r="D398" s="4" t="s">
        <v>365</v>
      </c>
      <c r="E398" s="4" t="s">
        <v>2337</v>
      </c>
      <c r="F398" s="4" t="s">
        <v>1458</v>
      </c>
      <c r="G398" s="4" t="s">
        <v>211</v>
      </c>
      <c r="H398" s="4" t="s">
        <v>1927</v>
      </c>
    </row>
    <row r="399" spans="1:8">
      <c r="A399" s="4">
        <v>101</v>
      </c>
      <c r="B399" s="4" t="s">
        <v>364</v>
      </c>
      <c r="C399" s="4" t="s">
        <v>1925</v>
      </c>
      <c r="D399" s="4" t="s">
        <v>365</v>
      </c>
      <c r="E399" s="4" t="s">
        <v>2338</v>
      </c>
      <c r="F399" s="4" t="s">
        <v>2339</v>
      </c>
      <c r="G399" s="4"/>
      <c r="H399" s="4"/>
    </row>
    <row r="400" spans="1:8">
      <c r="A400" s="4">
        <v>101</v>
      </c>
      <c r="B400" s="4" t="s">
        <v>364</v>
      </c>
      <c r="C400" s="4" t="s">
        <v>1925</v>
      </c>
      <c r="D400" s="4" t="s">
        <v>365</v>
      </c>
      <c r="E400" s="4" t="s">
        <v>2340</v>
      </c>
      <c r="F400" s="4" t="s">
        <v>2341</v>
      </c>
      <c r="G400" s="4"/>
      <c r="H400" s="4"/>
    </row>
    <row r="401" spans="1:8">
      <c r="A401" s="4">
        <v>101</v>
      </c>
      <c r="B401" s="4" t="s">
        <v>364</v>
      </c>
      <c r="C401" s="4" t="s">
        <v>1930</v>
      </c>
      <c r="D401" s="4" t="s">
        <v>366</v>
      </c>
      <c r="E401" s="4" t="s">
        <v>366</v>
      </c>
      <c r="F401" s="4" t="s">
        <v>1459</v>
      </c>
      <c r="G401" s="4"/>
      <c r="H401" s="4"/>
    </row>
    <row r="402" spans="1:8" ht="27.6">
      <c r="A402" s="4">
        <v>102</v>
      </c>
      <c r="B402" s="4" t="s">
        <v>367</v>
      </c>
      <c r="C402" s="4" t="s">
        <v>1925</v>
      </c>
      <c r="D402" s="4" t="s">
        <v>368</v>
      </c>
      <c r="E402" s="4" t="s">
        <v>2342</v>
      </c>
      <c r="F402" s="4" t="s">
        <v>1460</v>
      </c>
      <c r="G402" s="4" t="s">
        <v>254</v>
      </c>
      <c r="H402" s="4" t="s">
        <v>1927</v>
      </c>
    </row>
    <row r="403" spans="1:8">
      <c r="A403" s="4">
        <v>102</v>
      </c>
      <c r="B403" s="4" t="s">
        <v>367</v>
      </c>
      <c r="C403" s="4" t="s">
        <v>1925</v>
      </c>
      <c r="D403" s="4" t="s">
        <v>368</v>
      </c>
      <c r="E403" s="4" t="s">
        <v>2343</v>
      </c>
      <c r="F403" s="4" t="s">
        <v>2344</v>
      </c>
      <c r="G403" s="4"/>
      <c r="H403" s="4"/>
    </row>
    <row r="404" spans="1:8">
      <c r="A404" s="4">
        <v>102</v>
      </c>
      <c r="B404" s="4" t="s">
        <v>367</v>
      </c>
      <c r="C404" s="4" t="s">
        <v>1930</v>
      </c>
      <c r="D404" s="4" t="s">
        <v>369</v>
      </c>
      <c r="E404" s="4" t="s">
        <v>369</v>
      </c>
      <c r="F404" s="4" t="s">
        <v>1461</v>
      </c>
      <c r="G404" s="4"/>
      <c r="H404" s="4"/>
    </row>
    <row r="405" spans="1:8">
      <c r="A405" s="4">
        <v>102</v>
      </c>
      <c r="B405" s="4" t="s">
        <v>367</v>
      </c>
      <c r="C405" s="4" t="s">
        <v>1936</v>
      </c>
      <c r="D405" s="4" t="s">
        <v>253</v>
      </c>
      <c r="E405" s="4" t="s">
        <v>384</v>
      </c>
      <c r="F405" s="4" t="s">
        <v>1392</v>
      </c>
      <c r="G405" s="4"/>
      <c r="H405" s="4"/>
    </row>
    <row r="406" spans="1:8" ht="27.6">
      <c r="A406" s="4">
        <v>103</v>
      </c>
      <c r="B406" s="4" t="s">
        <v>370</v>
      </c>
      <c r="C406" s="4" t="s">
        <v>1925</v>
      </c>
      <c r="D406" s="4" t="s">
        <v>371</v>
      </c>
      <c r="E406" s="4" t="s">
        <v>2345</v>
      </c>
      <c r="F406" s="4" t="s">
        <v>1462</v>
      </c>
      <c r="G406" s="4" t="s">
        <v>254</v>
      </c>
      <c r="H406" s="4" t="s">
        <v>1927</v>
      </c>
    </row>
    <row r="407" spans="1:8">
      <c r="A407" s="4">
        <v>103</v>
      </c>
      <c r="B407" s="4" t="s">
        <v>370</v>
      </c>
      <c r="C407" s="4" t="s">
        <v>1925</v>
      </c>
      <c r="D407" s="4" t="s">
        <v>371</v>
      </c>
      <c r="E407" s="4" t="s">
        <v>2346</v>
      </c>
      <c r="F407" s="4" t="s">
        <v>2347</v>
      </c>
      <c r="G407" s="4"/>
      <c r="H407" s="4"/>
    </row>
    <row r="408" spans="1:8">
      <c r="A408" s="4">
        <v>103</v>
      </c>
      <c r="B408" s="4" t="s">
        <v>370</v>
      </c>
      <c r="C408" s="4" t="s">
        <v>1925</v>
      </c>
      <c r="D408" s="4" t="s">
        <v>371</v>
      </c>
      <c r="E408" s="4" t="s">
        <v>2348</v>
      </c>
      <c r="F408" s="4" t="s">
        <v>2349</v>
      </c>
      <c r="G408" s="4"/>
      <c r="H408" s="4"/>
    </row>
    <row r="409" spans="1:8">
      <c r="A409" s="4">
        <v>103</v>
      </c>
      <c r="B409" s="4" t="s">
        <v>370</v>
      </c>
      <c r="C409" s="4" t="s">
        <v>1930</v>
      </c>
      <c r="D409" s="4" t="s">
        <v>372</v>
      </c>
      <c r="E409" s="4" t="s">
        <v>372</v>
      </c>
      <c r="F409" s="4" t="s">
        <v>1463</v>
      </c>
      <c r="G409" s="4"/>
      <c r="H409" s="4"/>
    </row>
    <row r="410" spans="1:8">
      <c r="A410" s="4">
        <v>103</v>
      </c>
      <c r="B410" s="4" t="s">
        <v>370</v>
      </c>
      <c r="C410" s="4" t="s">
        <v>1936</v>
      </c>
      <c r="D410" s="4" t="s">
        <v>253</v>
      </c>
      <c r="E410" s="4" t="s">
        <v>384</v>
      </c>
      <c r="F410" s="4" t="s">
        <v>1392</v>
      </c>
      <c r="G410" s="4"/>
      <c r="H410" s="4"/>
    </row>
    <row r="411" spans="1:8" ht="27.6">
      <c r="A411" s="4">
        <v>104</v>
      </c>
      <c r="B411" s="4" t="s">
        <v>373</v>
      </c>
      <c r="C411" s="4" t="s">
        <v>1925</v>
      </c>
      <c r="D411" s="4" t="s">
        <v>374</v>
      </c>
      <c r="E411" s="4" t="s">
        <v>2350</v>
      </c>
      <c r="F411" s="4" t="s">
        <v>1464</v>
      </c>
      <c r="G411" s="4" t="s">
        <v>79</v>
      </c>
      <c r="H411" s="4" t="s">
        <v>1927</v>
      </c>
    </row>
    <row r="412" spans="1:8">
      <c r="A412" s="4">
        <v>104</v>
      </c>
      <c r="B412" s="4" t="s">
        <v>373</v>
      </c>
      <c r="C412" s="4" t="s">
        <v>1925</v>
      </c>
      <c r="D412" s="4" t="s">
        <v>374</v>
      </c>
      <c r="E412" s="4" t="s">
        <v>2351</v>
      </c>
      <c r="F412" s="4" t="s">
        <v>2352</v>
      </c>
      <c r="G412" s="4"/>
      <c r="H412" s="4"/>
    </row>
    <row r="413" spans="1:8">
      <c r="A413" s="4">
        <v>104</v>
      </c>
      <c r="B413" s="4" t="s">
        <v>373</v>
      </c>
      <c r="C413" s="4" t="s">
        <v>1930</v>
      </c>
      <c r="D413" s="4" t="s">
        <v>375</v>
      </c>
      <c r="E413" s="4" t="s">
        <v>375</v>
      </c>
      <c r="F413" s="4" t="s">
        <v>1465</v>
      </c>
      <c r="G413" s="4"/>
      <c r="H413" s="4"/>
    </row>
    <row r="414" spans="1:8" ht="27.6">
      <c r="A414" s="4">
        <v>105</v>
      </c>
      <c r="B414" s="4" t="s">
        <v>376</v>
      </c>
      <c r="C414" s="4" t="s">
        <v>1925</v>
      </c>
      <c r="D414" s="4" t="s">
        <v>377</v>
      </c>
      <c r="E414" s="4" t="s">
        <v>2353</v>
      </c>
      <c r="F414" s="4" t="s">
        <v>1466</v>
      </c>
      <c r="G414" s="4" t="s">
        <v>79</v>
      </c>
      <c r="H414" s="4" t="s">
        <v>1927</v>
      </c>
    </row>
    <row r="415" spans="1:8">
      <c r="A415" s="4">
        <v>105</v>
      </c>
      <c r="B415" s="4" t="s">
        <v>376</v>
      </c>
      <c r="C415" s="4" t="s">
        <v>1925</v>
      </c>
      <c r="D415" s="4" t="s">
        <v>377</v>
      </c>
      <c r="E415" s="4" t="s">
        <v>2354</v>
      </c>
      <c r="F415" s="4" t="s">
        <v>2355</v>
      </c>
      <c r="G415" s="4"/>
      <c r="H415" s="4"/>
    </row>
    <row r="416" spans="1:8">
      <c r="A416" s="4">
        <v>105</v>
      </c>
      <c r="B416" s="4" t="s">
        <v>376</v>
      </c>
      <c r="C416" s="4" t="s">
        <v>1925</v>
      </c>
      <c r="D416" s="4" t="s">
        <v>377</v>
      </c>
      <c r="E416" s="4" t="s">
        <v>2356</v>
      </c>
      <c r="F416" s="4" t="s">
        <v>2357</v>
      </c>
      <c r="G416" s="4"/>
      <c r="H416" s="4"/>
    </row>
    <row r="417" spans="1:8">
      <c r="A417" s="4">
        <v>105</v>
      </c>
      <c r="B417" s="4" t="s">
        <v>376</v>
      </c>
      <c r="C417" s="4" t="s">
        <v>1930</v>
      </c>
      <c r="D417" s="4" t="s">
        <v>378</v>
      </c>
      <c r="E417" s="4" t="s">
        <v>378</v>
      </c>
      <c r="F417" s="4" t="s">
        <v>1467</v>
      </c>
      <c r="G417" s="4"/>
      <c r="H417" s="4"/>
    </row>
    <row r="418" spans="1:8" ht="27.6">
      <c r="A418" s="4">
        <v>106</v>
      </c>
      <c r="B418" s="4" t="s">
        <v>379</v>
      </c>
      <c r="C418" s="4" t="s">
        <v>1925</v>
      </c>
      <c r="D418" s="4" t="s">
        <v>380</v>
      </c>
      <c r="E418" s="4" t="s">
        <v>2358</v>
      </c>
      <c r="F418" s="4" t="s">
        <v>1468</v>
      </c>
      <c r="G418" s="4" t="s">
        <v>211</v>
      </c>
      <c r="H418" s="4" t="s">
        <v>1927</v>
      </c>
    </row>
    <row r="419" spans="1:8">
      <c r="A419" s="4">
        <v>106</v>
      </c>
      <c r="B419" s="4" t="s">
        <v>379</v>
      </c>
      <c r="C419" s="4" t="s">
        <v>1925</v>
      </c>
      <c r="D419" s="4" t="s">
        <v>380</v>
      </c>
      <c r="E419" s="4" t="s">
        <v>2359</v>
      </c>
      <c r="F419" s="4" t="s">
        <v>2360</v>
      </c>
      <c r="G419" s="4"/>
      <c r="H419" s="4"/>
    </row>
    <row r="420" spans="1:8">
      <c r="A420" s="4">
        <v>106</v>
      </c>
      <c r="B420" s="4" t="s">
        <v>379</v>
      </c>
      <c r="C420" s="4" t="s">
        <v>1930</v>
      </c>
      <c r="D420" s="4" t="s">
        <v>381</v>
      </c>
      <c r="E420" s="4" t="s">
        <v>381</v>
      </c>
      <c r="F420" s="4" t="s">
        <v>1469</v>
      </c>
      <c r="G420" s="4"/>
      <c r="H420" s="4"/>
    </row>
    <row r="421" spans="1:8" ht="27.6">
      <c r="A421" s="4">
        <v>107</v>
      </c>
      <c r="B421" s="4" t="s">
        <v>382</v>
      </c>
      <c r="C421" s="4" t="s">
        <v>1925</v>
      </c>
      <c r="D421" s="4" t="s">
        <v>383</v>
      </c>
      <c r="E421" s="4" t="s">
        <v>2361</v>
      </c>
      <c r="F421" s="4" t="s">
        <v>1470</v>
      </c>
      <c r="G421" s="4" t="s">
        <v>211</v>
      </c>
      <c r="H421" s="4" t="s">
        <v>1927</v>
      </c>
    </row>
    <row r="422" spans="1:8">
      <c r="A422" s="4">
        <v>107</v>
      </c>
      <c r="B422" s="4" t="s">
        <v>382</v>
      </c>
      <c r="C422" s="4" t="s">
        <v>1925</v>
      </c>
      <c r="D422" s="4" t="s">
        <v>383</v>
      </c>
      <c r="E422" s="4" t="s">
        <v>2362</v>
      </c>
      <c r="F422" s="4" t="s">
        <v>2363</v>
      </c>
      <c r="G422" s="4"/>
      <c r="H422" s="4"/>
    </row>
    <row r="423" spans="1:8">
      <c r="A423" s="4">
        <v>107</v>
      </c>
      <c r="B423" s="4" t="s">
        <v>382</v>
      </c>
      <c r="C423" s="4" t="s">
        <v>1925</v>
      </c>
      <c r="D423" s="4" t="s">
        <v>383</v>
      </c>
      <c r="E423" s="4" t="s">
        <v>2364</v>
      </c>
      <c r="F423" s="4" t="s">
        <v>2365</v>
      </c>
      <c r="G423" s="4"/>
      <c r="H423" s="4"/>
    </row>
    <row r="424" spans="1:8">
      <c r="A424" s="4">
        <v>107</v>
      </c>
      <c r="B424" s="4" t="s">
        <v>382</v>
      </c>
      <c r="C424" s="4" t="s">
        <v>1930</v>
      </c>
      <c r="D424" s="4" t="s">
        <v>384</v>
      </c>
      <c r="E424" s="4" t="s">
        <v>384</v>
      </c>
      <c r="F424" s="4" t="s">
        <v>1392</v>
      </c>
      <c r="G424" s="4"/>
      <c r="H424" s="4"/>
    </row>
    <row r="425" spans="1:8" ht="27.6">
      <c r="A425" s="4">
        <v>108</v>
      </c>
      <c r="B425" s="4" t="s">
        <v>385</v>
      </c>
      <c r="C425" s="4" t="s">
        <v>1925</v>
      </c>
      <c r="D425" s="4" t="s">
        <v>386</v>
      </c>
      <c r="E425" s="4" t="s">
        <v>2366</v>
      </c>
      <c r="F425" s="4" t="s">
        <v>1471</v>
      </c>
      <c r="G425" s="4" t="s">
        <v>211</v>
      </c>
      <c r="H425" s="4" t="s">
        <v>1927</v>
      </c>
    </row>
    <row r="426" spans="1:8">
      <c r="A426" s="4">
        <v>108</v>
      </c>
      <c r="B426" s="4" t="s">
        <v>385</v>
      </c>
      <c r="C426" s="4" t="s">
        <v>1925</v>
      </c>
      <c r="D426" s="4" t="s">
        <v>386</v>
      </c>
      <c r="E426" s="4" t="s">
        <v>2367</v>
      </c>
      <c r="F426" s="4" t="s">
        <v>2368</v>
      </c>
      <c r="G426" s="4"/>
      <c r="H426" s="4"/>
    </row>
    <row r="427" spans="1:8">
      <c r="A427" s="4">
        <v>108</v>
      </c>
      <c r="B427" s="4" t="s">
        <v>385</v>
      </c>
      <c r="C427" s="4" t="s">
        <v>1930</v>
      </c>
      <c r="D427" s="4" t="s">
        <v>387</v>
      </c>
      <c r="E427" s="4" t="s">
        <v>387</v>
      </c>
      <c r="F427" s="4" t="s">
        <v>1472</v>
      </c>
      <c r="G427" s="4"/>
      <c r="H427" s="4"/>
    </row>
    <row r="428" spans="1:8" ht="27.6">
      <c r="A428" s="4">
        <v>109</v>
      </c>
      <c r="B428" s="4" t="s">
        <v>388</v>
      </c>
      <c r="C428" s="4" t="s">
        <v>1925</v>
      </c>
      <c r="D428" s="4" t="s">
        <v>389</v>
      </c>
      <c r="E428" s="4" t="s">
        <v>2369</v>
      </c>
      <c r="F428" s="4" t="s">
        <v>1473</v>
      </c>
      <c r="G428" s="4" t="s">
        <v>254</v>
      </c>
      <c r="H428" s="4" t="s">
        <v>1927</v>
      </c>
    </row>
    <row r="429" spans="1:8">
      <c r="A429" s="4">
        <v>109</v>
      </c>
      <c r="B429" s="4" t="s">
        <v>388</v>
      </c>
      <c r="C429" s="4" t="s">
        <v>1925</v>
      </c>
      <c r="D429" s="4" t="s">
        <v>389</v>
      </c>
      <c r="E429" s="4" t="s">
        <v>2370</v>
      </c>
      <c r="F429" s="4" t="s">
        <v>2371</v>
      </c>
      <c r="G429" s="4"/>
      <c r="H429" s="4"/>
    </row>
    <row r="430" spans="1:8">
      <c r="A430" s="4">
        <v>109</v>
      </c>
      <c r="B430" s="4" t="s">
        <v>388</v>
      </c>
      <c r="C430" s="4" t="s">
        <v>1925</v>
      </c>
      <c r="D430" s="4" t="s">
        <v>389</v>
      </c>
      <c r="E430" s="4" t="s">
        <v>2372</v>
      </c>
      <c r="F430" s="4" t="s">
        <v>2373</v>
      </c>
      <c r="G430" s="4"/>
      <c r="H430" s="4"/>
    </row>
    <row r="431" spans="1:8">
      <c r="A431" s="4">
        <v>109</v>
      </c>
      <c r="B431" s="4" t="s">
        <v>388</v>
      </c>
      <c r="C431" s="4" t="s">
        <v>1930</v>
      </c>
      <c r="D431" s="4" t="s">
        <v>390</v>
      </c>
      <c r="E431" s="4" t="s">
        <v>390</v>
      </c>
      <c r="F431" s="4" t="s">
        <v>1474</v>
      </c>
      <c r="G431" s="4"/>
      <c r="H431" s="4"/>
    </row>
    <row r="432" spans="1:8">
      <c r="A432" s="4">
        <v>109</v>
      </c>
      <c r="B432" s="4" t="s">
        <v>388</v>
      </c>
      <c r="C432" s="4" t="s">
        <v>1936</v>
      </c>
      <c r="D432" s="4" t="s">
        <v>253</v>
      </c>
      <c r="E432" s="4" t="s">
        <v>384</v>
      </c>
      <c r="F432" s="4" t="s">
        <v>1392</v>
      </c>
      <c r="G432" s="4"/>
      <c r="H432" s="4"/>
    </row>
    <row r="433" spans="1:8" ht="27.6">
      <c r="A433" s="4">
        <v>110</v>
      </c>
      <c r="B433" s="4" t="s">
        <v>391</v>
      </c>
      <c r="C433" s="4" t="s">
        <v>1925</v>
      </c>
      <c r="D433" s="4" t="s">
        <v>392</v>
      </c>
      <c r="E433" s="4" t="s">
        <v>2374</v>
      </c>
      <c r="F433" s="4" t="s">
        <v>1475</v>
      </c>
      <c r="G433" s="4" t="s">
        <v>254</v>
      </c>
      <c r="H433" s="4" t="s">
        <v>1927</v>
      </c>
    </row>
    <row r="434" spans="1:8">
      <c r="A434" s="4">
        <v>110</v>
      </c>
      <c r="B434" s="4" t="s">
        <v>391</v>
      </c>
      <c r="C434" s="4" t="s">
        <v>1925</v>
      </c>
      <c r="D434" s="4" t="s">
        <v>392</v>
      </c>
      <c r="E434" s="4" t="s">
        <v>2375</v>
      </c>
      <c r="F434" s="4" t="s">
        <v>2376</v>
      </c>
      <c r="G434" s="4"/>
      <c r="H434" s="4"/>
    </row>
    <row r="435" spans="1:8">
      <c r="A435" s="4">
        <v>110</v>
      </c>
      <c r="B435" s="4" t="s">
        <v>391</v>
      </c>
      <c r="C435" s="4" t="s">
        <v>1930</v>
      </c>
      <c r="D435" s="4" t="s">
        <v>393</v>
      </c>
      <c r="E435" s="4" t="s">
        <v>393</v>
      </c>
      <c r="F435" s="4" t="s">
        <v>1476</v>
      </c>
      <c r="G435" s="4"/>
      <c r="H435" s="4"/>
    </row>
    <row r="436" spans="1:8">
      <c r="A436" s="4">
        <v>110</v>
      </c>
      <c r="B436" s="4" t="s">
        <v>391</v>
      </c>
      <c r="C436" s="4" t="s">
        <v>1936</v>
      </c>
      <c r="D436" s="4" t="s">
        <v>253</v>
      </c>
      <c r="E436" s="4" t="s">
        <v>384</v>
      </c>
      <c r="F436" s="4" t="s">
        <v>1392</v>
      </c>
      <c r="G436" s="4"/>
      <c r="H436" s="4"/>
    </row>
    <row r="437" spans="1:8" ht="27.6">
      <c r="A437" s="4">
        <v>111</v>
      </c>
      <c r="B437" s="4" t="s">
        <v>394</v>
      </c>
      <c r="C437" s="4" t="s">
        <v>1925</v>
      </c>
      <c r="D437" s="4" t="s">
        <v>395</v>
      </c>
      <c r="E437" s="4" t="s">
        <v>2377</v>
      </c>
      <c r="F437" s="4" t="s">
        <v>1477</v>
      </c>
      <c r="G437" s="4" t="s">
        <v>79</v>
      </c>
      <c r="H437" s="4" t="s">
        <v>1927</v>
      </c>
    </row>
    <row r="438" spans="1:8">
      <c r="A438" s="4">
        <v>111</v>
      </c>
      <c r="B438" s="4" t="s">
        <v>394</v>
      </c>
      <c r="C438" s="4" t="s">
        <v>1925</v>
      </c>
      <c r="D438" s="4" t="s">
        <v>395</v>
      </c>
      <c r="E438" s="4" t="s">
        <v>2378</v>
      </c>
      <c r="F438" s="4" t="s">
        <v>2379</v>
      </c>
      <c r="G438" s="4"/>
      <c r="H438" s="4"/>
    </row>
    <row r="439" spans="1:8">
      <c r="A439" s="4">
        <v>111</v>
      </c>
      <c r="B439" s="4" t="s">
        <v>394</v>
      </c>
      <c r="C439" s="4" t="s">
        <v>1925</v>
      </c>
      <c r="D439" s="4" t="s">
        <v>395</v>
      </c>
      <c r="E439" s="4" t="s">
        <v>2380</v>
      </c>
      <c r="F439" s="4" t="s">
        <v>2381</v>
      </c>
      <c r="G439" s="4"/>
      <c r="H439" s="4"/>
    </row>
    <row r="440" spans="1:8">
      <c r="A440" s="4">
        <v>111</v>
      </c>
      <c r="B440" s="4" t="s">
        <v>394</v>
      </c>
      <c r="C440" s="4" t="s">
        <v>1930</v>
      </c>
      <c r="D440" s="4" t="s">
        <v>396</v>
      </c>
      <c r="E440" s="4" t="s">
        <v>396</v>
      </c>
      <c r="F440" s="4" t="s">
        <v>1478</v>
      </c>
      <c r="G440" s="4"/>
      <c r="H440" s="4"/>
    </row>
    <row r="441" spans="1:8" ht="27.6">
      <c r="A441" s="4">
        <v>112</v>
      </c>
      <c r="B441" s="4" t="s">
        <v>397</v>
      </c>
      <c r="C441" s="4" t="s">
        <v>1925</v>
      </c>
      <c r="D441" s="4" t="s">
        <v>398</v>
      </c>
      <c r="E441" s="4" t="s">
        <v>2382</v>
      </c>
      <c r="F441" s="4" t="s">
        <v>1479</v>
      </c>
      <c r="G441" s="4" t="s">
        <v>254</v>
      </c>
      <c r="H441" s="4" t="s">
        <v>1927</v>
      </c>
    </row>
    <row r="442" spans="1:8">
      <c r="A442" s="4">
        <v>112</v>
      </c>
      <c r="B442" s="4" t="s">
        <v>397</v>
      </c>
      <c r="C442" s="4" t="s">
        <v>1925</v>
      </c>
      <c r="D442" s="4" t="s">
        <v>398</v>
      </c>
      <c r="E442" s="4" t="s">
        <v>2383</v>
      </c>
      <c r="F442" s="4" t="s">
        <v>2384</v>
      </c>
      <c r="G442" s="4"/>
      <c r="H442" s="4"/>
    </row>
    <row r="443" spans="1:8">
      <c r="A443" s="4">
        <v>112</v>
      </c>
      <c r="B443" s="4" t="s">
        <v>397</v>
      </c>
      <c r="C443" s="4" t="s">
        <v>1925</v>
      </c>
      <c r="D443" s="4" t="s">
        <v>398</v>
      </c>
      <c r="E443" s="4" t="s">
        <v>2385</v>
      </c>
      <c r="F443" s="4" t="s">
        <v>2386</v>
      </c>
      <c r="G443" s="4"/>
      <c r="H443" s="4"/>
    </row>
    <row r="444" spans="1:8">
      <c r="A444" s="4">
        <v>112</v>
      </c>
      <c r="B444" s="4" t="s">
        <v>397</v>
      </c>
      <c r="C444" s="4" t="s">
        <v>1930</v>
      </c>
      <c r="D444" s="4" t="s">
        <v>399</v>
      </c>
      <c r="E444" s="4" t="s">
        <v>399</v>
      </c>
      <c r="F444" s="4" t="s">
        <v>1480</v>
      </c>
      <c r="G444" s="4"/>
      <c r="H444" s="4"/>
    </row>
    <row r="445" spans="1:8">
      <c r="A445" s="4">
        <v>112</v>
      </c>
      <c r="B445" s="4" t="s">
        <v>397</v>
      </c>
      <c r="C445" s="4" t="s">
        <v>1936</v>
      </c>
      <c r="D445" s="4" t="s">
        <v>253</v>
      </c>
      <c r="E445" s="4" t="s">
        <v>384</v>
      </c>
      <c r="F445" s="4" t="s">
        <v>1392</v>
      </c>
      <c r="G445" s="4"/>
      <c r="H445" s="4"/>
    </row>
    <row r="446" spans="1:8" ht="27.6">
      <c r="A446" s="4">
        <v>113</v>
      </c>
      <c r="B446" s="4" t="s">
        <v>400</v>
      </c>
      <c r="C446" s="4" t="s">
        <v>1925</v>
      </c>
      <c r="D446" s="4" t="s">
        <v>401</v>
      </c>
      <c r="E446" s="4" t="s">
        <v>2387</v>
      </c>
      <c r="F446" s="4" t="s">
        <v>1481</v>
      </c>
      <c r="G446" s="4" t="s">
        <v>254</v>
      </c>
      <c r="H446" s="4" t="s">
        <v>1927</v>
      </c>
    </row>
    <row r="447" spans="1:8">
      <c r="A447" s="4">
        <v>113</v>
      </c>
      <c r="B447" s="4" t="s">
        <v>400</v>
      </c>
      <c r="C447" s="4" t="s">
        <v>1925</v>
      </c>
      <c r="D447" s="4" t="s">
        <v>401</v>
      </c>
      <c r="E447" s="4" t="s">
        <v>2388</v>
      </c>
      <c r="F447" s="4" t="s">
        <v>2389</v>
      </c>
      <c r="G447" s="4"/>
      <c r="H447" s="4"/>
    </row>
    <row r="448" spans="1:8">
      <c r="A448" s="4">
        <v>113</v>
      </c>
      <c r="B448" s="4" t="s">
        <v>400</v>
      </c>
      <c r="C448" s="4" t="s">
        <v>1930</v>
      </c>
      <c r="D448" s="4" t="s">
        <v>402</v>
      </c>
      <c r="E448" s="4" t="s">
        <v>402</v>
      </c>
      <c r="F448" s="4" t="s">
        <v>1482</v>
      </c>
      <c r="G448" s="4"/>
      <c r="H448" s="4"/>
    </row>
    <row r="449" spans="1:8">
      <c r="A449" s="4">
        <v>113</v>
      </c>
      <c r="B449" s="4" t="s">
        <v>400</v>
      </c>
      <c r="C449" s="4" t="s">
        <v>1936</v>
      </c>
      <c r="D449" s="4" t="s">
        <v>253</v>
      </c>
      <c r="E449" s="4" t="s">
        <v>384</v>
      </c>
      <c r="F449" s="4" t="s">
        <v>1392</v>
      </c>
      <c r="G449" s="4"/>
      <c r="H449" s="4"/>
    </row>
    <row r="450" spans="1:8" ht="27.6">
      <c r="A450" s="4">
        <v>114</v>
      </c>
      <c r="B450" s="4" t="s">
        <v>403</v>
      </c>
      <c r="C450" s="4" t="s">
        <v>1925</v>
      </c>
      <c r="D450" s="4" t="s">
        <v>404</v>
      </c>
      <c r="E450" s="4" t="s">
        <v>2390</v>
      </c>
      <c r="F450" s="4" t="s">
        <v>1483</v>
      </c>
      <c r="G450" s="4" t="s">
        <v>56</v>
      </c>
      <c r="H450" s="4" t="s">
        <v>1927</v>
      </c>
    </row>
    <row r="451" spans="1:8">
      <c r="A451" s="4">
        <v>114</v>
      </c>
      <c r="B451" s="4" t="s">
        <v>403</v>
      </c>
      <c r="C451" s="4" t="s">
        <v>1925</v>
      </c>
      <c r="D451" s="4" t="s">
        <v>404</v>
      </c>
      <c r="E451" s="4" t="s">
        <v>2391</v>
      </c>
      <c r="F451" s="4" t="s">
        <v>2392</v>
      </c>
      <c r="G451" s="4"/>
      <c r="H451" s="4"/>
    </row>
    <row r="452" spans="1:8">
      <c r="A452" s="4">
        <v>114</v>
      </c>
      <c r="B452" s="4" t="s">
        <v>403</v>
      </c>
      <c r="C452" s="4" t="s">
        <v>1925</v>
      </c>
      <c r="D452" s="4" t="s">
        <v>404</v>
      </c>
      <c r="E452" s="4" t="s">
        <v>2393</v>
      </c>
      <c r="F452" s="4" t="s">
        <v>2394</v>
      </c>
      <c r="G452" s="4"/>
      <c r="H452" s="4"/>
    </row>
    <row r="453" spans="1:8">
      <c r="A453" s="4">
        <v>114</v>
      </c>
      <c r="B453" s="4" t="s">
        <v>403</v>
      </c>
      <c r="C453" s="4" t="s">
        <v>1930</v>
      </c>
      <c r="D453" s="4" t="s">
        <v>405</v>
      </c>
      <c r="E453" s="4" t="s">
        <v>405</v>
      </c>
      <c r="F453" s="4" t="s">
        <v>1484</v>
      </c>
      <c r="G453" s="4"/>
      <c r="H453" s="4"/>
    </row>
    <row r="454" spans="1:8">
      <c r="A454" s="4">
        <v>114</v>
      </c>
      <c r="B454" s="4" t="s">
        <v>403</v>
      </c>
      <c r="C454" s="4" t="s">
        <v>1936</v>
      </c>
      <c r="D454" s="4" t="s">
        <v>55</v>
      </c>
      <c r="E454" s="4" t="s">
        <v>151</v>
      </c>
      <c r="F454" s="4" t="s">
        <v>1286</v>
      </c>
      <c r="G454" s="4"/>
      <c r="H454" s="4"/>
    </row>
    <row r="455" spans="1:8" ht="27.6">
      <c r="A455" s="4">
        <v>115</v>
      </c>
      <c r="B455" s="4" t="s">
        <v>406</v>
      </c>
      <c r="C455" s="4" t="s">
        <v>1925</v>
      </c>
      <c r="D455" s="4" t="s">
        <v>407</v>
      </c>
      <c r="E455" s="4" t="s">
        <v>2395</v>
      </c>
      <c r="F455" s="4" t="s">
        <v>1485</v>
      </c>
      <c r="G455" s="4" t="s">
        <v>56</v>
      </c>
      <c r="H455" s="4" t="s">
        <v>1927</v>
      </c>
    </row>
    <row r="456" spans="1:8">
      <c r="A456" s="4">
        <v>115</v>
      </c>
      <c r="B456" s="4" t="s">
        <v>406</v>
      </c>
      <c r="C456" s="4" t="s">
        <v>1925</v>
      </c>
      <c r="D456" s="4" t="s">
        <v>407</v>
      </c>
      <c r="E456" s="4" t="s">
        <v>2396</v>
      </c>
      <c r="F456" s="4" t="s">
        <v>2397</v>
      </c>
      <c r="G456" s="4"/>
      <c r="H456" s="4"/>
    </row>
    <row r="457" spans="1:8">
      <c r="A457" s="4">
        <v>115</v>
      </c>
      <c r="B457" s="4" t="s">
        <v>406</v>
      </c>
      <c r="C457" s="4" t="s">
        <v>1930</v>
      </c>
      <c r="D457" s="4" t="s">
        <v>408</v>
      </c>
      <c r="E457" s="4" t="s">
        <v>408</v>
      </c>
      <c r="F457" s="4" t="s">
        <v>1486</v>
      </c>
      <c r="G457" s="4"/>
      <c r="H457" s="4"/>
    </row>
    <row r="458" spans="1:8" ht="27.6">
      <c r="A458" s="4">
        <v>116</v>
      </c>
      <c r="B458" s="4" t="s">
        <v>409</v>
      </c>
      <c r="C458" s="4" t="s">
        <v>1925</v>
      </c>
      <c r="D458" s="4" t="s">
        <v>410</v>
      </c>
      <c r="E458" s="4" t="s">
        <v>2398</v>
      </c>
      <c r="F458" s="4" t="s">
        <v>1487</v>
      </c>
      <c r="G458" s="4" t="s">
        <v>254</v>
      </c>
      <c r="H458" s="4" t="s">
        <v>1927</v>
      </c>
    </row>
    <row r="459" spans="1:8">
      <c r="A459" s="4">
        <v>116</v>
      </c>
      <c r="B459" s="4" t="s">
        <v>409</v>
      </c>
      <c r="C459" s="4" t="s">
        <v>1925</v>
      </c>
      <c r="D459" s="4" t="s">
        <v>410</v>
      </c>
      <c r="E459" s="4" t="s">
        <v>2399</v>
      </c>
      <c r="F459" s="4" t="s">
        <v>2400</v>
      </c>
      <c r="G459" s="4"/>
      <c r="H459" s="4"/>
    </row>
    <row r="460" spans="1:8">
      <c r="A460" s="4">
        <v>116</v>
      </c>
      <c r="B460" s="4" t="s">
        <v>409</v>
      </c>
      <c r="C460" s="4" t="s">
        <v>1925</v>
      </c>
      <c r="D460" s="4" t="s">
        <v>410</v>
      </c>
      <c r="E460" s="4" t="s">
        <v>2401</v>
      </c>
      <c r="F460" s="4" t="s">
        <v>2402</v>
      </c>
      <c r="G460" s="4"/>
      <c r="H460" s="4"/>
    </row>
    <row r="461" spans="1:8">
      <c r="A461" s="4">
        <v>116</v>
      </c>
      <c r="B461" s="4" t="s">
        <v>409</v>
      </c>
      <c r="C461" s="4" t="s">
        <v>1930</v>
      </c>
      <c r="D461" s="4" t="s">
        <v>253</v>
      </c>
      <c r="E461" s="4" t="s">
        <v>384</v>
      </c>
      <c r="F461" s="4" t="s">
        <v>1392</v>
      </c>
      <c r="G461" s="4"/>
      <c r="H461" s="4"/>
    </row>
    <row r="462" spans="1:8" ht="27.6">
      <c r="A462" s="4">
        <v>117</v>
      </c>
      <c r="B462" s="4" t="s">
        <v>411</v>
      </c>
      <c r="C462" s="4" t="s">
        <v>1925</v>
      </c>
      <c r="D462" s="4" t="s">
        <v>412</v>
      </c>
      <c r="E462" s="4" t="s">
        <v>2403</v>
      </c>
      <c r="F462" s="4" t="s">
        <v>1488</v>
      </c>
      <c r="G462" s="4" t="s">
        <v>414</v>
      </c>
      <c r="H462" s="4" t="s">
        <v>1927</v>
      </c>
    </row>
    <row r="463" spans="1:8">
      <c r="A463" s="4">
        <v>117</v>
      </c>
      <c r="B463" s="4" t="s">
        <v>411</v>
      </c>
      <c r="C463" s="4" t="s">
        <v>1925</v>
      </c>
      <c r="D463" s="4" t="s">
        <v>412</v>
      </c>
      <c r="E463" s="4" t="s">
        <v>2404</v>
      </c>
      <c r="F463" s="4" t="s">
        <v>2405</v>
      </c>
      <c r="G463" s="4"/>
      <c r="H463" s="4"/>
    </row>
    <row r="464" spans="1:8">
      <c r="A464" s="4">
        <v>117</v>
      </c>
      <c r="B464" s="4" t="s">
        <v>411</v>
      </c>
      <c r="C464" s="4" t="s">
        <v>1930</v>
      </c>
      <c r="D464" s="4" t="s">
        <v>413</v>
      </c>
      <c r="E464" s="4" t="s">
        <v>413</v>
      </c>
      <c r="F464" s="4" t="s">
        <v>1489</v>
      </c>
      <c r="G464" s="4"/>
      <c r="H464" s="4"/>
    </row>
    <row r="465" spans="1:8" ht="27.6">
      <c r="A465" s="4">
        <v>118</v>
      </c>
      <c r="B465" s="4" t="s">
        <v>416</v>
      </c>
      <c r="C465" s="4" t="s">
        <v>1925</v>
      </c>
      <c r="D465" s="4" t="s">
        <v>417</v>
      </c>
      <c r="E465" s="4" t="s">
        <v>2406</v>
      </c>
      <c r="F465" s="4" t="s">
        <v>1490</v>
      </c>
      <c r="G465" s="4" t="s">
        <v>414</v>
      </c>
      <c r="H465" s="4" t="s">
        <v>1927</v>
      </c>
    </row>
    <row r="466" spans="1:8">
      <c r="A466" s="4">
        <v>118</v>
      </c>
      <c r="B466" s="4" t="s">
        <v>416</v>
      </c>
      <c r="C466" s="4" t="s">
        <v>1925</v>
      </c>
      <c r="D466" s="4" t="s">
        <v>417</v>
      </c>
      <c r="E466" s="4" t="s">
        <v>2407</v>
      </c>
      <c r="F466" s="4" t="s">
        <v>2408</v>
      </c>
      <c r="G466" s="4"/>
      <c r="H466" s="4"/>
    </row>
    <row r="467" spans="1:8">
      <c r="A467" s="4">
        <v>118</v>
      </c>
      <c r="B467" s="4" t="s">
        <v>416</v>
      </c>
      <c r="C467" s="4" t="s">
        <v>1925</v>
      </c>
      <c r="D467" s="4" t="s">
        <v>417</v>
      </c>
      <c r="E467" s="4" t="s">
        <v>2409</v>
      </c>
      <c r="F467" s="4" t="s">
        <v>2410</v>
      </c>
      <c r="G467" s="4"/>
      <c r="H467" s="4"/>
    </row>
    <row r="468" spans="1:8">
      <c r="A468" s="4">
        <v>118</v>
      </c>
      <c r="B468" s="4" t="s">
        <v>416</v>
      </c>
      <c r="C468" s="4" t="s">
        <v>1930</v>
      </c>
      <c r="D468" s="4" t="s">
        <v>418</v>
      </c>
      <c r="E468" s="4" t="s">
        <v>418</v>
      </c>
      <c r="F468" s="4" t="s">
        <v>1491</v>
      </c>
      <c r="G468" s="4"/>
      <c r="H468" s="4"/>
    </row>
    <row r="469" spans="1:8" ht="27.6">
      <c r="A469" s="4">
        <v>119</v>
      </c>
      <c r="B469" s="4" t="s">
        <v>419</v>
      </c>
      <c r="C469" s="4" t="s">
        <v>1925</v>
      </c>
      <c r="D469" s="4" t="s">
        <v>420</v>
      </c>
      <c r="E469" s="4" t="s">
        <v>2411</v>
      </c>
      <c r="F469" s="4" t="s">
        <v>1492</v>
      </c>
      <c r="G469" s="4" t="s">
        <v>34</v>
      </c>
      <c r="H469" s="4" t="s">
        <v>1927</v>
      </c>
    </row>
    <row r="470" spans="1:8">
      <c r="A470" s="4">
        <v>119</v>
      </c>
      <c r="B470" s="4" t="s">
        <v>419</v>
      </c>
      <c r="C470" s="4" t="s">
        <v>1925</v>
      </c>
      <c r="D470" s="4" t="s">
        <v>420</v>
      </c>
      <c r="E470" s="4" t="s">
        <v>2412</v>
      </c>
      <c r="F470" s="4" t="s">
        <v>2413</v>
      </c>
      <c r="G470" s="4"/>
      <c r="H470" s="4"/>
    </row>
    <row r="471" spans="1:8">
      <c r="A471" s="4">
        <v>119</v>
      </c>
      <c r="B471" s="4" t="s">
        <v>419</v>
      </c>
      <c r="C471" s="4" t="s">
        <v>1930</v>
      </c>
      <c r="D471" s="4" t="s">
        <v>33</v>
      </c>
      <c r="E471" s="4" t="s">
        <v>170</v>
      </c>
      <c r="F471" s="4" t="s">
        <v>1275</v>
      </c>
      <c r="G471" s="4"/>
      <c r="H471" s="4"/>
    </row>
    <row r="472" spans="1:8" ht="27.6">
      <c r="A472" s="4">
        <v>120</v>
      </c>
      <c r="B472" s="4" t="s">
        <v>421</v>
      </c>
      <c r="C472" s="4" t="s">
        <v>1925</v>
      </c>
      <c r="D472" s="4" t="s">
        <v>422</v>
      </c>
      <c r="E472" s="4" t="s">
        <v>2414</v>
      </c>
      <c r="F472" s="4" t="s">
        <v>1493</v>
      </c>
      <c r="G472" s="4" t="s">
        <v>424</v>
      </c>
      <c r="H472" s="4" t="s">
        <v>1927</v>
      </c>
    </row>
    <row r="473" spans="1:8">
      <c r="A473" s="4">
        <v>120</v>
      </c>
      <c r="B473" s="4" t="s">
        <v>421</v>
      </c>
      <c r="C473" s="4" t="s">
        <v>1925</v>
      </c>
      <c r="D473" s="4" t="s">
        <v>422</v>
      </c>
      <c r="E473" s="4" t="s">
        <v>2415</v>
      </c>
      <c r="F473" s="4" t="s">
        <v>2416</v>
      </c>
      <c r="G473" s="4"/>
      <c r="H473" s="4"/>
    </row>
    <row r="474" spans="1:8">
      <c r="A474" s="4">
        <v>120</v>
      </c>
      <c r="B474" s="4" t="s">
        <v>421</v>
      </c>
      <c r="C474" s="4" t="s">
        <v>1925</v>
      </c>
      <c r="D474" s="4" t="s">
        <v>422</v>
      </c>
      <c r="E474" s="4" t="s">
        <v>2417</v>
      </c>
      <c r="F474" s="4" t="s">
        <v>2418</v>
      </c>
      <c r="G474" s="4"/>
      <c r="H474" s="4"/>
    </row>
    <row r="475" spans="1:8">
      <c r="A475" s="4">
        <v>120</v>
      </c>
      <c r="B475" s="4" t="s">
        <v>421</v>
      </c>
      <c r="C475" s="4" t="s">
        <v>1930</v>
      </c>
      <c r="D475" s="4" t="s">
        <v>423</v>
      </c>
      <c r="E475" s="4" t="s">
        <v>968</v>
      </c>
      <c r="F475" s="4" t="s">
        <v>1494</v>
      </c>
      <c r="G475" s="4"/>
      <c r="H475" s="4"/>
    </row>
    <row r="476" spans="1:8" ht="27.6">
      <c r="A476" s="4">
        <v>121</v>
      </c>
      <c r="B476" s="4" t="s">
        <v>426</v>
      </c>
      <c r="C476" s="4" t="s">
        <v>1925</v>
      </c>
      <c r="D476" s="4" t="s">
        <v>427</v>
      </c>
      <c r="E476" s="4" t="s">
        <v>2419</v>
      </c>
      <c r="F476" s="4" t="s">
        <v>1495</v>
      </c>
      <c r="G476" s="4" t="s">
        <v>424</v>
      </c>
      <c r="H476" s="4" t="s">
        <v>1927</v>
      </c>
    </row>
    <row r="477" spans="1:8">
      <c r="A477" s="4">
        <v>121</v>
      </c>
      <c r="B477" s="4" t="s">
        <v>426</v>
      </c>
      <c r="C477" s="4" t="s">
        <v>1925</v>
      </c>
      <c r="D477" s="4" t="s">
        <v>427</v>
      </c>
      <c r="E477" s="4" t="s">
        <v>2420</v>
      </c>
      <c r="F477" s="4" t="s">
        <v>2421</v>
      </c>
      <c r="G477" s="4"/>
      <c r="H477" s="4"/>
    </row>
    <row r="478" spans="1:8">
      <c r="A478" s="4">
        <v>121</v>
      </c>
      <c r="B478" s="4" t="s">
        <v>426</v>
      </c>
      <c r="C478" s="4" t="s">
        <v>1930</v>
      </c>
      <c r="D478" s="4" t="s">
        <v>423</v>
      </c>
      <c r="E478" s="4" t="s">
        <v>968</v>
      </c>
      <c r="F478" s="4" t="s">
        <v>1494</v>
      </c>
      <c r="G478" s="4"/>
      <c r="H478" s="4"/>
    </row>
    <row r="479" spans="1:8" ht="27.6">
      <c r="A479" s="4">
        <v>122</v>
      </c>
      <c r="B479" s="4" t="s">
        <v>428</v>
      </c>
      <c r="C479" s="4" t="s">
        <v>1925</v>
      </c>
      <c r="D479" s="4" t="s">
        <v>429</v>
      </c>
      <c r="E479" s="4" t="s">
        <v>2422</v>
      </c>
      <c r="F479" s="4" t="s">
        <v>1496</v>
      </c>
      <c r="G479" s="4" t="s">
        <v>296</v>
      </c>
      <c r="H479" s="4" t="s">
        <v>1927</v>
      </c>
    </row>
    <row r="480" spans="1:8">
      <c r="A480" s="4">
        <v>122</v>
      </c>
      <c r="B480" s="4" t="s">
        <v>428</v>
      </c>
      <c r="C480" s="4" t="s">
        <v>1925</v>
      </c>
      <c r="D480" s="4" t="s">
        <v>429</v>
      </c>
      <c r="E480" s="4" t="s">
        <v>2423</v>
      </c>
      <c r="F480" s="4" t="s">
        <v>2424</v>
      </c>
      <c r="G480" s="4"/>
      <c r="H480" s="4"/>
    </row>
    <row r="481" spans="1:8">
      <c r="A481" s="4">
        <v>122</v>
      </c>
      <c r="B481" s="4" t="s">
        <v>428</v>
      </c>
      <c r="C481" s="4" t="s">
        <v>1925</v>
      </c>
      <c r="D481" s="4" t="s">
        <v>429</v>
      </c>
      <c r="E481" s="4" t="s">
        <v>2425</v>
      </c>
      <c r="F481" s="4" t="s">
        <v>2426</v>
      </c>
      <c r="G481" s="4"/>
      <c r="H481" s="4"/>
    </row>
    <row r="482" spans="1:8">
      <c r="A482" s="4">
        <v>122</v>
      </c>
      <c r="B482" s="4" t="s">
        <v>428</v>
      </c>
      <c r="C482" s="4" t="s">
        <v>1930</v>
      </c>
      <c r="D482" s="4" t="s">
        <v>295</v>
      </c>
      <c r="E482" s="4" t="s">
        <v>464</v>
      </c>
      <c r="F482" s="4" t="s">
        <v>1415</v>
      </c>
      <c r="G482" s="4"/>
      <c r="H482" s="4"/>
    </row>
    <row r="483" spans="1:8" ht="27.6">
      <c r="A483" s="4">
        <v>123</v>
      </c>
      <c r="B483" s="4" t="s">
        <v>430</v>
      </c>
      <c r="C483" s="4" t="s">
        <v>1925</v>
      </c>
      <c r="D483" s="4" t="s">
        <v>431</v>
      </c>
      <c r="E483" s="4" t="s">
        <v>2427</v>
      </c>
      <c r="F483" s="4" t="s">
        <v>1497</v>
      </c>
      <c r="G483" s="4" t="s">
        <v>254</v>
      </c>
      <c r="H483" s="4" t="s">
        <v>1927</v>
      </c>
    </row>
    <row r="484" spans="1:8">
      <c r="A484" s="4">
        <v>123</v>
      </c>
      <c r="B484" s="4" t="s">
        <v>430</v>
      </c>
      <c r="C484" s="4" t="s">
        <v>1925</v>
      </c>
      <c r="D484" s="4" t="s">
        <v>431</v>
      </c>
      <c r="E484" s="4" t="s">
        <v>2428</v>
      </c>
      <c r="F484" s="4" t="s">
        <v>2429</v>
      </c>
      <c r="G484" s="4"/>
      <c r="H484" s="4"/>
    </row>
    <row r="485" spans="1:8">
      <c r="A485" s="4">
        <v>123</v>
      </c>
      <c r="B485" s="4" t="s">
        <v>430</v>
      </c>
      <c r="C485" s="4" t="s">
        <v>1925</v>
      </c>
      <c r="D485" s="4" t="s">
        <v>431</v>
      </c>
      <c r="E485" s="4" t="s">
        <v>2430</v>
      </c>
      <c r="F485" s="4" t="s">
        <v>2431</v>
      </c>
      <c r="G485" s="4"/>
      <c r="H485" s="4"/>
    </row>
    <row r="486" spans="1:8">
      <c r="A486" s="4">
        <v>123</v>
      </c>
      <c r="B486" s="4" t="s">
        <v>430</v>
      </c>
      <c r="C486" s="4" t="s">
        <v>1930</v>
      </c>
      <c r="D486" s="4" t="s">
        <v>432</v>
      </c>
      <c r="E486" s="4" t="s">
        <v>432</v>
      </c>
      <c r="F486" s="4" t="s">
        <v>1498</v>
      </c>
      <c r="G486" s="4"/>
      <c r="H486" s="4"/>
    </row>
    <row r="487" spans="1:8">
      <c r="A487" s="4">
        <v>123</v>
      </c>
      <c r="B487" s="4" t="s">
        <v>430</v>
      </c>
      <c r="C487" s="4" t="s">
        <v>1936</v>
      </c>
      <c r="D487" s="4" t="s">
        <v>253</v>
      </c>
      <c r="E487" s="4" t="s">
        <v>384</v>
      </c>
      <c r="F487" s="4" t="s">
        <v>1392</v>
      </c>
      <c r="G487" s="4"/>
      <c r="H487" s="4"/>
    </row>
    <row r="488" spans="1:8" ht="27.6">
      <c r="A488" s="4">
        <v>124</v>
      </c>
      <c r="B488" s="4" t="s">
        <v>433</v>
      </c>
      <c r="C488" s="4" t="s">
        <v>1925</v>
      </c>
      <c r="D488" s="4" t="s">
        <v>434</v>
      </c>
      <c r="E488" s="4" t="s">
        <v>2432</v>
      </c>
      <c r="F488" s="4" t="s">
        <v>1499</v>
      </c>
      <c r="G488" s="4" t="s">
        <v>29</v>
      </c>
      <c r="H488" s="4" t="s">
        <v>1927</v>
      </c>
    </row>
    <row r="489" spans="1:8">
      <c r="A489" s="4">
        <v>124</v>
      </c>
      <c r="B489" s="4" t="s">
        <v>433</v>
      </c>
      <c r="C489" s="4" t="s">
        <v>1925</v>
      </c>
      <c r="D489" s="4" t="s">
        <v>434</v>
      </c>
      <c r="E489" s="4" t="s">
        <v>2433</v>
      </c>
      <c r="F489" s="4" t="s">
        <v>2434</v>
      </c>
      <c r="G489" s="4"/>
      <c r="H489" s="4"/>
    </row>
    <row r="490" spans="1:8">
      <c r="A490" s="4">
        <v>124</v>
      </c>
      <c r="B490" s="4" t="s">
        <v>433</v>
      </c>
      <c r="C490" s="4" t="s">
        <v>1930</v>
      </c>
      <c r="D490" s="4" t="s">
        <v>435</v>
      </c>
      <c r="E490" s="4" t="s">
        <v>435</v>
      </c>
      <c r="F490" s="4" t="s">
        <v>1500</v>
      </c>
      <c r="G490" s="4"/>
      <c r="H490" s="4"/>
    </row>
    <row r="491" spans="1:8" ht="27.6">
      <c r="A491" s="4">
        <v>125</v>
      </c>
      <c r="B491" s="4" t="s">
        <v>436</v>
      </c>
      <c r="C491" s="4" t="s">
        <v>1925</v>
      </c>
      <c r="D491" s="4" t="s">
        <v>437</v>
      </c>
      <c r="E491" s="4" t="s">
        <v>2435</v>
      </c>
      <c r="F491" s="4" t="s">
        <v>1501</v>
      </c>
      <c r="G491" s="4" t="s">
        <v>29</v>
      </c>
      <c r="H491" s="4" t="s">
        <v>1927</v>
      </c>
    </row>
    <row r="492" spans="1:8">
      <c r="A492" s="4">
        <v>125</v>
      </c>
      <c r="B492" s="4" t="s">
        <v>436</v>
      </c>
      <c r="C492" s="4" t="s">
        <v>1925</v>
      </c>
      <c r="D492" s="4" t="s">
        <v>437</v>
      </c>
      <c r="E492" s="4" t="s">
        <v>2436</v>
      </c>
      <c r="F492" s="4" t="s">
        <v>2437</v>
      </c>
      <c r="G492" s="4"/>
      <c r="H492" s="4"/>
    </row>
    <row r="493" spans="1:8">
      <c r="A493" s="4">
        <v>125</v>
      </c>
      <c r="B493" s="4" t="s">
        <v>436</v>
      </c>
      <c r="C493" s="4" t="s">
        <v>1925</v>
      </c>
      <c r="D493" s="4" t="s">
        <v>437</v>
      </c>
      <c r="E493" s="4" t="s">
        <v>2438</v>
      </c>
      <c r="F493" s="4" t="s">
        <v>2439</v>
      </c>
      <c r="G493" s="4"/>
      <c r="H493" s="4"/>
    </row>
    <row r="494" spans="1:8">
      <c r="A494" s="4">
        <v>125</v>
      </c>
      <c r="B494" s="4" t="s">
        <v>436</v>
      </c>
      <c r="C494" s="4" t="s">
        <v>1930</v>
      </c>
      <c r="D494" s="4" t="s">
        <v>438</v>
      </c>
      <c r="E494" s="4" t="s">
        <v>438</v>
      </c>
      <c r="F494" s="4" t="s">
        <v>1502</v>
      </c>
      <c r="G494" s="4"/>
      <c r="H494" s="4"/>
    </row>
    <row r="495" spans="1:8" ht="27.6">
      <c r="A495" s="4">
        <v>126</v>
      </c>
      <c r="B495" s="4" t="s">
        <v>439</v>
      </c>
      <c r="C495" s="4" t="s">
        <v>1925</v>
      </c>
      <c r="D495" s="4" t="s">
        <v>440</v>
      </c>
      <c r="E495" s="4" t="s">
        <v>2440</v>
      </c>
      <c r="F495" s="4" t="s">
        <v>1503</v>
      </c>
      <c r="G495" s="4" t="s">
        <v>29</v>
      </c>
      <c r="H495" s="4" t="s">
        <v>1927</v>
      </c>
    </row>
    <row r="496" spans="1:8">
      <c r="A496" s="4">
        <v>126</v>
      </c>
      <c r="B496" s="4" t="s">
        <v>439</v>
      </c>
      <c r="C496" s="4" t="s">
        <v>1925</v>
      </c>
      <c r="D496" s="4" t="s">
        <v>440</v>
      </c>
      <c r="E496" s="4" t="s">
        <v>2441</v>
      </c>
      <c r="F496" s="4" t="s">
        <v>2442</v>
      </c>
      <c r="G496" s="4"/>
      <c r="H496" s="4"/>
    </row>
    <row r="497" spans="1:8">
      <c r="A497" s="4">
        <v>126</v>
      </c>
      <c r="B497" s="4" t="s">
        <v>439</v>
      </c>
      <c r="C497" s="4" t="s">
        <v>1930</v>
      </c>
      <c r="D497" s="4" t="s">
        <v>441</v>
      </c>
      <c r="E497" s="4" t="s">
        <v>441</v>
      </c>
      <c r="F497" s="4" t="s">
        <v>1504</v>
      </c>
      <c r="G497" s="4"/>
      <c r="H497" s="4"/>
    </row>
    <row r="498" spans="1:8">
      <c r="A498" s="4">
        <v>126</v>
      </c>
      <c r="B498" s="4" t="s">
        <v>439</v>
      </c>
      <c r="C498" s="4" t="s">
        <v>1936</v>
      </c>
      <c r="D498" s="4" t="s">
        <v>28</v>
      </c>
      <c r="E498" s="4" t="s">
        <v>877</v>
      </c>
      <c r="F498" s="4" t="s">
        <v>1273</v>
      </c>
      <c r="G498" s="4"/>
      <c r="H498" s="4"/>
    </row>
    <row r="499" spans="1:8" ht="27.6">
      <c r="A499" s="4">
        <v>127</v>
      </c>
      <c r="B499" s="4" t="s">
        <v>442</v>
      </c>
      <c r="C499" s="4" t="s">
        <v>1925</v>
      </c>
      <c r="D499" s="4" t="s">
        <v>443</v>
      </c>
      <c r="E499" s="4" t="s">
        <v>2443</v>
      </c>
      <c r="F499" s="4" t="s">
        <v>1505</v>
      </c>
      <c r="G499" s="4" t="s">
        <v>34</v>
      </c>
      <c r="H499" s="4" t="s">
        <v>1927</v>
      </c>
    </row>
    <row r="500" spans="1:8">
      <c r="A500" s="4">
        <v>127</v>
      </c>
      <c r="B500" s="4" t="s">
        <v>442</v>
      </c>
      <c r="C500" s="4" t="s">
        <v>1925</v>
      </c>
      <c r="D500" s="4" t="s">
        <v>443</v>
      </c>
      <c r="E500" s="4" t="s">
        <v>2444</v>
      </c>
      <c r="F500" s="4" t="s">
        <v>2445</v>
      </c>
      <c r="G500" s="4"/>
      <c r="H500" s="4"/>
    </row>
    <row r="501" spans="1:8">
      <c r="A501" s="4">
        <v>127</v>
      </c>
      <c r="B501" s="4" t="s">
        <v>442</v>
      </c>
      <c r="C501" s="4" t="s">
        <v>1925</v>
      </c>
      <c r="D501" s="4" t="s">
        <v>443</v>
      </c>
      <c r="E501" s="4" t="s">
        <v>2446</v>
      </c>
      <c r="F501" s="4" t="s">
        <v>2447</v>
      </c>
      <c r="G501" s="4"/>
      <c r="H501" s="4"/>
    </row>
    <row r="502" spans="1:8">
      <c r="A502" s="4">
        <v>127</v>
      </c>
      <c r="B502" s="4" t="s">
        <v>442</v>
      </c>
      <c r="C502" s="4" t="s">
        <v>1930</v>
      </c>
      <c r="D502" s="4" t="s">
        <v>444</v>
      </c>
      <c r="E502" s="4" t="s">
        <v>444</v>
      </c>
      <c r="F502" s="4" t="s">
        <v>1506</v>
      </c>
      <c r="G502" s="4"/>
      <c r="H502" s="4"/>
    </row>
    <row r="503" spans="1:8">
      <c r="A503" s="4">
        <v>127</v>
      </c>
      <c r="B503" s="4" t="s">
        <v>442</v>
      </c>
      <c r="C503" s="4" t="s">
        <v>1936</v>
      </c>
      <c r="D503" s="4" t="s">
        <v>33</v>
      </c>
      <c r="E503" s="4" t="s">
        <v>170</v>
      </c>
      <c r="F503" s="4" t="s">
        <v>1275</v>
      </c>
      <c r="G503" s="4"/>
      <c r="H503" s="4"/>
    </row>
    <row r="504" spans="1:8" ht="27.6">
      <c r="A504" s="4">
        <v>128</v>
      </c>
      <c r="B504" s="4" t="s">
        <v>445</v>
      </c>
      <c r="C504" s="4" t="s">
        <v>1925</v>
      </c>
      <c r="D504" s="4" t="s">
        <v>446</v>
      </c>
      <c r="E504" s="4" t="s">
        <v>2448</v>
      </c>
      <c r="F504" s="4" t="s">
        <v>1507</v>
      </c>
      <c r="G504" s="4" t="s">
        <v>34</v>
      </c>
      <c r="H504" s="4" t="s">
        <v>1927</v>
      </c>
    </row>
    <row r="505" spans="1:8">
      <c r="A505" s="4">
        <v>128</v>
      </c>
      <c r="B505" s="4" t="s">
        <v>445</v>
      </c>
      <c r="C505" s="4" t="s">
        <v>1925</v>
      </c>
      <c r="D505" s="4" t="s">
        <v>446</v>
      </c>
      <c r="E505" s="4" t="s">
        <v>2449</v>
      </c>
      <c r="F505" s="4" t="s">
        <v>2450</v>
      </c>
      <c r="G505" s="4"/>
      <c r="H505" s="4"/>
    </row>
    <row r="506" spans="1:8">
      <c r="A506" s="4">
        <v>128</v>
      </c>
      <c r="B506" s="4" t="s">
        <v>445</v>
      </c>
      <c r="C506" s="4" t="s">
        <v>1930</v>
      </c>
      <c r="D506" s="4" t="s">
        <v>33</v>
      </c>
      <c r="E506" s="4" t="s">
        <v>170</v>
      </c>
      <c r="F506" s="4" t="s">
        <v>1275</v>
      </c>
      <c r="G506" s="4"/>
      <c r="H506" s="4"/>
    </row>
    <row r="507" spans="1:8" ht="27.6">
      <c r="A507" s="4">
        <v>129</v>
      </c>
      <c r="B507" s="4" t="s">
        <v>447</v>
      </c>
      <c r="C507" s="4" t="s">
        <v>1925</v>
      </c>
      <c r="D507" s="4" t="s">
        <v>448</v>
      </c>
      <c r="E507" s="4" t="s">
        <v>2451</v>
      </c>
      <c r="F507" s="4" t="s">
        <v>1508</v>
      </c>
      <c r="G507" s="4" t="s">
        <v>34</v>
      </c>
      <c r="H507" s="4" t="s">
        <v>1927</v>
      </c>
    </row>
    <row r="508" spans="1:8">
      <c r="A508" s="4">
        <v>129</v>
      </c>
      <c r="B508" s="4" t="s">
        <v>447</v>
      </c>
      <c r="C508" s="4" t="s">
        <v>1925</v>
      </c>
      <c r="D508" s="4" t="s">
        <v>448</v>
      </c>
      <c r="E508" s="4" t="s">
        <v>2452</v>
      </c>
      <c r="F508" s="4" t="s">
        <v>2453</v>
      </c>
      <c r="G508" s="4"/>
      <c r="H508" s="4"/>
    </row>
    <row r="509" spans="1:8">
      <c r="A509" s="4">
        <v>129</v>
      </c>
      <c r="B509" s="4" t="s">
        <v>447</v>
      </c>
      <c r="C509" s="4" t="s">
        <v>1925</v>
      </c>
      <c r="D509" s="4" t="s">
        <v>448</v>
      </c>
      <c r="E509" s="4" t="s">
        <v>2454</v>
      </c>
      <c r="F509" s="4" t="s">
        <v>2455</v>
      </c>
      <c r="G509" s="4"/>
      <c r="H509" s="4"/>
    </row>
    <row r="510" spans="1:8">
      <c r="A510" s="4">
        <v>129</v>
      </c>
      <c r="B510" s="4" t="s">
        <v>447</v>
      </c>
      <c r="C510" s="4" t="s">
        <v>1930</v>
      </c>
      <c r="D510" s="4" t="s">
        <v>33</v>
      </c>
      <c r="E510" s="4" t="s">
        <v>170</v>
      </c>
      <c r="F510" s="4" t="s">
        <v>1275</v>
      </c>
      <c r="G510" s="4"/>
      <c r="H510" s="4"/>
    </row>
    <row r="511" spans="1:8" ht="27.6">
      <c r="A511" s="4">
        <v>130</v>
      </c>
      <c r="B511" s="4" t="s">
        <v>449</v>
      </c>
      <c r="C511" s="4" t="s">
        <v>1925</v>
      </c>
      <c r="D511" s="4" t="s">
        <v>450</v>
      </c>
      <c r="E511" s="4" t="s">
        <v>2456</v>
      </c>
      <c r="F511" s="4" t="s">
        <v>1509</v>
      </c>
      <c r="G511" s="4" t="s">
        <v>34</v>
      </c>
      <c r="H511" s="4" t="s">
        <v>1927</v>
      </c>
    </row>
    <row r="512" spans="1:8">
      <c r="A512" s="4">
        <v>130</v>
      </c>
      <c r="B512" s="4" t="s">
        <v>449</v>
      </c>
      <c r="C512" s="4" t="s">
        <v>1925</v>
      </c>
      <c r="D512" s="4" t="s">
        <v>450</v>
      </c>
      <c r="E512" s="4" t="s">
        <v>2457</v>
      </c>
      <c r="F512" s="4" t="s">
        <v>2458</v>
      </c>
      <c r="G512" s="4"/>
      <c r="H512" s="4"/>
    </row>
    <row r="513" spans="1:8">
      <c r="A513" s="4">
        <v>130</v>
      </c>
      <c r="B513" s="4" t="s">
        <v>449</v>
      </c>
      <c r="C513" s="4" t="s">
        <v>1930</v>
      </c>
      <c r="D513" s="4" t="s">
        <v>33</v>
      </c>
      <c r="E513" s="4" t="s">
        <v>170</v>
      </c>
      <c r="F513" s="4" t="s">
        <v>1275</v>
      </c>
      <c r="G513" s="4"/>
      <c r="H513" s="4"/>
    </row>
    <row r="514" spans="1:8" ht="27.6">
      <c r="A514" s="4">
        <v>131</v>
      </c>
      <c r="B514" s="4" t="s">
        <v>451</v>
      </c>
      <c r="C514" s="4" t="s">
        <v>1925</v>
      </c>
      <c r="D514" s="4" t="s">
        <v>452</v>
      </c>
      <c r="E514" s="4" t="s">
        <v>2459</v>
      </c>
      <c r="F514" s="4" t="s">
        <v>1510</v>
      </c>
      <c r="G514" s="4" t="s">
        <v>254</v>
      </c>
      <c r="H514" s="4" t="s">
        <v>1927</v>
      </c>
    </row>
    <row r="515" spans="1:8">
      <c r="A515" s="4">
        <v>131</v>
      </c>
      <c r="B515" s="4" t="s">
        <v>451</v>
      </c>
      <c r="C515" s="4" t="s">
        <v>1925</v>
      </c>
      <c r="D515" s="4" t="s">
        <v>452</v>
      </c>
      <c r="E515" s="4" t="s">
        <v>2460</v>
      </c>
      <c r="F515" s="4" t="s">
        <v>2461</v>
      </c>
      <c r="G515" s="4"/>
      <c r="H515" s="4"/>
    </row>
    <row r="516" spans="1:8">
      <c r="A516" s="4">
        <v>131</v>
      </c>
      <c r="B516" s="4" t="s">
        <v>451</v>
      </c>
      <c r="C516" s="4" t="s">
        <v>1925</v>
      </c>
      <c r="D516" s="4" t="s">
        <v>452</v>
      </c>
      <c r="E516" s="4" t="s">
        <v>2462</v>
      </c>
      <c r="F516" s="4" t="s">
        <v>2463</v>
      </c>
      <c r="G516" s="4"/>
      <c r="H516" s="4"/>
    </row>
    <row r="517" spans="1:8">
      <c r="A517" s="4">
        <v>131</v>
      </c>
      <c r="B517" s="4" t="s">
        <v>451</v>
      </c>
      <c r="C517" s="4" t="s">
        <v>1930</v>
      </c>
      <c r="D517" s="4" t="s">
        <v>453</v>
      </c>
      <c r="E517" s="4" t="s">
        <v>453</v>
      </c>
      <c r="F517" s="4" t="s">
        <v>1511</v>
      </c>
      <c r="G517" s="4"/>
      <c r="H517" s="4"/>
    </row>
    <row r="518" spans="1:8">
      <c r="A518" s="4">
        <v>131</v>
      </c>
      <c r="B518" s="4" t="s">
        <v>451</v>
      </c>
      <c r="C518" s="4" t="s">
        <v>1936</v>
      </c>
      <c r="D518" s="4" t="s">
        <v>253</v>
      </c>
      <c r="E518" s="4" t="s">
        <v>384</v>
      </c>
      <c r="F518" s="4" t="s">
        <v>1392</v>
      </c>
      <c r="G518" s="4"/>
      <c r="H518" s="4"/>
    </row>
    <row r="519" spans="1:8" ht="27.6">
      <c r="A519" s="4">
        <v>132</v>
      </c>
      <c r="B519" s="4" t="s">
        <v>454</v>
      </c>
      <c r="C519" s="4" t="s">
        <v>1925</v>
      </c>
      <c r="D519" s="4" t="s">
        <v>455</v>
      </c>
      <c r="E519" s="4" t="s">
        <v>2464</v>
      </c>
      <c r="F519" s="4" t="s">
        <v>1512</v>
      </c>
      <c r="G519" s="4" t="s">
        <v>424</v>
      </c>
      <c r="H519" s="4" t="s">
        <v>1927</v>
      </c>
    </row>
    <row r="520" spans="1:8">
      <c r="A520" s="4">
        <v>132</v>
      </c>
      <c r="B520" s="4" t="s">
        <v>454</v>
      </c>
      <c r="C520" s="4" t="s">
        <v>1925</v>
      </c>
      <c r="D520" s="4" t="s">
        <v>455</v>
      </c>
      <c r="E520" s="4" t="s">
        <v>2465</v>
      </c>
      <c r="F520" s="4" t="s">
        <v>2466</v>
      </c>
      <c r="G520" s="4"/>
      <c r="H520" s="4"/>
    </row>
    <row r="521" spans="1:8">
      <c r="A521" s="4">
        <v>132</v>
      </c>
      <c r="B521" s="4" t="s">
        <v>454</v>
      </c>
      <c r="C521" s="4" t="s">
        <v>1930</v>
      </c>
      <c r="D521" s="4" t="s">
        <v>456</v>
      </c>
      <c r="E521" s="4" t="s">
        <v>456</v>
      </c>
      <c r="F521" s="4" t="s">
        <v>1513</v>
      </c>
      <c r="G521" s="4"/>
      <c r="H521" s="4"/>
    </row>
    <row r="522" spans="1:8">
      <c r="A522" s="4">
        <v>132</v>
      </c>
      <c r="B522" s="4" t="s">
        <v>454</v>
      </c>
      <c r="C522" s="4" t="s">
        <v>1936</v>
      </c>
      <c r="D522" s="4" t="s">
        <v>423</v>
      </c>
      <c r="E522" s="4" t="s">
        <v>968</v>
      </c>
      <c r="F522" s="4" t="s">
        <v>1494</v>
      </c>
      <c r="G522" s="4"/>
      <c r="H522" s="4"/>
    </row>
    <row r="523" spans="1:8" ht="27.6">
      <c r="A523" s="4">
        <v>133</v>
      </c>
      <c r="B523" s="4" t="s">
        <v>457</v>
      </c>
      <c r="C523" s="4" t="s">
        <v>1925</v>
      </c>
      <c r="D523" s="4" t="s">
        <v>458</v>
      </c>
      <c r="E523" s="4" t="s">
        <v>2467</v>
      </c>
      <c r="F523" s="4" t="s">
        <v>1514</v>
      </c>
      <c r="G523" s="4" t="s">
        <v>34</v>
      </c>
      <c r="H523" s="4" t="s">
        <v>1927</v>
      </c>
    </row>
    <row r="524" spans="1:8">
      <c r="A524" s="4">
        <v>133</v>
      </c>
      <c r="B524" s="4" t="s">
        <v>457</v>
      </c>
      <c r="C524" s="4" t="s">
        <v>1925</v>
      </c>
      <c r="D524" s="4" t="s">
        <v>458</v>
      </c>
      <c r="E524" s="4" t="s">
        <v>2468</v>
      </c>
      <c r="F524" s="4" t="s">
        <v>2469</v>
      </c>
      <c r="G524" s="4"/>
      <c r="H524" s="4"/>
    </row>
    <row r="525" spans="1:8">
      <c r="A525" s="4">
        <v>133</v>
      </c>
      <c r="B525" s="4" t="s">
        <v>457</v>
      </c>
      <c r="C525" s="4" t="s">
        <v>1925</v>
      </c>
      <c r="D525" s="4" t="s">
        <v>458</v>
      </c>
      <c r="E525" s="4" t="s">
        <v>2470</v>
      </c>
      <c r="F525" s="4" t="s">
        <v>2471</v>
      </c>
      <c r="G525" s="4"/>
      <c r="H525" s="4"/>
    </row>
    <row r="526" spans="1:8">
      <c r="A526" s="4">
        <v>133</v>
      </c>
      <c r="B526" s="4" t="s">
        <v>457</v>
      </c>
      <c r="C526" s="4" t="s">
        <v>1930</v>
      </c>
      <c r="D526" s="4" t="s">
        <v>33</v>
      </c>
      <c r="E526" s="4" t="s">
        <v>170</v>
      </c>
      <c r="F526" s="4" t="s">
        <v>1275</v>
      </c>
      <c r="G526" s="4"/>
      <c r="H526" s="4"/>
    </row>
    <row r="527" spans="1:8" ht="27.6">
      <c r="A527" s="4">
        <v>134</v>
      </c>
      <c r="B527" s="4" t="s">
        <v>459</v>
      </c>
      <c r="C527" s="4" t="s">
        <v>1925</v>
      </c>
      <c r="D527" s="4" t="s">
        <v>460</v>
      </c>
      <c r="E527" s="4" t="s">
        <v>2472</v>
      </c>
      <c r="F527" s="4" t="s">
        <v>1515</v>
      </c>
      <c r="G527" s="4" t="s">
        <v>34</v>
      </c>
      <c r="H527" s="4" t="s">
        <v>1927</v>
      </c>
    </row>
    <row r="528" spans="1:8">
      <c r="A528" s="4">
        <v>134</v>
      </c>
      <c r="B528" s="4" t="s">
        <v>459</v>
      </c>
      <c r="C528" s="4" t="s">
        <v>1925</v>
      </c>
      <c r="D528" s="4" t="s">
        <v>460</v>
      </c>
      <c r="E528" s="4" t="s">
        <v>2473</v>
      </c>
      <c r="F528" s="4" t="s">
        <v>2474</v>
      </c>
      <c r="G528" s="4"/>
      <c r="H528" s="4"/>
    </row>
    <row r="529" spans="1:8">
      <c r="A529" s="4">
        <v>134</v>
      </c>
      <c r="B529" s="4" t="s">
        <v>459</v>
      </c>
      <c r="C529" s="4" t="s">
        <v>1925</v>
      </c>
      <c r="D529" s="4" t="s">
        <v>460</v>
      </c>
      <c r="E529" s="4" t="s">
        <v>2475</v>
      </c>
      <c r="F529" s="4" t="s">
        <v>2476</v>
      </c>
      <c r="G529" s="4"/>
      <c r="H529" s="4"/>
    </row>
    <row r="530" spans="1:8">
      <c r="A530" s="4">
        <v>134</v>
      </c>
      <c r="B530" s="4" t="s">
        <v>459</v>
      </c>
      <c r="C530" s="4" t="s">
        <v>1930</v>
      </c>
      <c r="D530" s="4" t="s">
        <v>461</v>
      </c>
      <c r="E530" s="4" t="s">
        <v>461</v>
      </c>
      <c r="F530" s="4" t="s">
        <v>1516</v>
      </c>
      <c r="G530" s="4"/>
      <c r="H530" s="4"/>
    </row>
    <row r="531" spans="1:8">
      <c r="A531" s="4">
        <v>134</v>
      </c>
      <c r="B531" s="4" t="s">
        <v>459</v>
      </c>
      <c r="C531" s="4" t="s">
        <v>1936</v>
      </c>
      <c r="D531" s="4" t="s">
        <v>33</v>
      </c>
      <c r="E531" s="4" t="s">
        <v>170</v>
      </c>
      <c r="F531" s="4" t="s">
        <v>1275</v>
      </c>
      <c r="G531" s="4"/>
      <c r="H531" s="4"/>
    </row>
    <row r="532" spans="1:8" ht="27.6">
      <c r="A532" s="4">
        <v>135</v>
      </c>
      <c r="B532" s="4" t="s">
        <v>462</v>
      </c>
      <c r="C532" s="4" t="s">
        <v>1925</v>
      </c>
      <c r="D532" s="4" t="s">
        <v>463</v>
      </c>
      <c r="E532" s="4" t="s">
        <v>2477</v>
      </c>
      <c r="F532" s="4" t="s">
        <v>1517</v>
      </c>
      <c r="G532" s="4" t="s">
        <v>34</v>
      </c>
      <c r="H532" s="4" t="s">
        <v>1927</v>
      </c>
    </row>
    <row r="533" spans="1:8">
      <c r="A533" s="4">
        <v>135</v>
      </c>
      <c r="B533" s="4" t="s">
        <v>462</v>
      </c>
      <c r="C533" s="4" t="s">
        <v>1925</v>
      </c>
      <c r="D533" s="4" t="s">
        <v>463</v>
      </c>
      <c r="E533" s="4" t="s">
        <v>2478</v>
      </c>
      <c r="F533" s="4" t="s">
        <v>2479</v>
      </c>
      <c r="G533" s="4"/>
      <c r="H533" s="4"/>
    </row>
    <row r="534" spans="1:8">
      <c r="A534" s="4">
        <v>135</v>
      </c>
      <c r="B534" s="4" t="s">
        <v>462</v>
      </c>
      <c r="C534" s="4" t="s">
        <v>1930</v>
      </c>
      <c r="D534" s="4" t="s">
        <v>464</v>
      </c>
      <c r="E534" s="4" t="s">
        <v>464</v>
      </c>
      <c r="F534" s="4" t="s">
        <v>1415</v>
      </c>
      <c r="G534" s="4"/>
      <c r="H534" s="4"/>
    </row>
    <row r="535" spans="1:8" ht="27.6">
      <c r="A535" s="4">
        <v>136</v>
      </c>
      <c r="B535" s="4" t="s">
        <v>465</v>
      </c>
      <c r="C535" s="4" t="s">
        <v>1925</v>
      </c>
      <c r="D535" s="4" t="s">
        <v>466</v>
      </c>
      <c r="E535" s="4" t="s">
        <v>2480</v>
      </c>
      <c r="F535" s="4" t="s">
        <v>1518</v>
      </c>
      <c r="G535" s="4" t="s">
        <v>34</v>
      </c>
      <c r="H535" s="4" t="s">
        <v>1927</v>
      </c>
    </row>
    <row r="536" spans="1:8">
      <c r="A536" s="4">
        <v>136</v>
      </c>
      <c r="B536" s="4" t="s">
        <v>465</v>
      </c>
      <c r="C536" s="4" t="s">
        <v>1925</v>
      </c>
      <c r="D536" s="4" t="s">
        <v>466</v>
      </c>
      <c r="E536" s="4" t="s">
        <v>2481</v>
      </c>
      <c r="F536" s="4" t="s">
        <v>2482</v>
      </c>
      <c r="G536" s="4"/>
      <c r="H536" s="4"/>
    </row>
    <row r="537" spans="1:8">
      <c r="A537" s="4">
        <v>136</v>
      </c>
      <c r="B537" s="4" t="s">
        <v>465</v>
      </c>
      <c r="C537" s="4" t="s">
        <v>1925</v>
      </c>
      <c r="D537" s="4" t="s">
        <v>466</v>
      </c>
      <c r="E537" s="4" t="s">
        <v>2483</v>
      </c>
      <c r="F537" s="4" t="s">
        <v>2484</v>
      </c>
      <c r="G537" s="4"/>
      <c r="H537" s="4"/>
    </row>
    <row r="538" spans="1:8">
      <c r="A538" s="4">
        <v>136</v>
      </c>
      <c r="B538" s="4" t="s">
        <v>465</v>
      </c>
      <c r="C538" s="4" t="s">
        <v>1930</v>
      </c>
      <c r="D538" s="4" t="s">
        <v>467</v>
      </c>
      <c r="E538" s="4" t="s">
        <v>467</v>
      </c>
      <c r="F538" s="4" t="s">
        <v>1519</v>
      </c>
      <c r="G538" s="4"/>
      <c r="H538" s="4"/>
    </row>
    <row r="539" spans="1:8">
      <c r="A539" s="4">
        <v>136</v>
      </c>
      <c r="B539" s="4" t="s">
        <v>465</v>
      </c>
      <c r="C539" s="4" t="s">
        <v>1936</v>
      </c>
      <c r="D539" s="4" t="s">
        <v>33</v>
      </c>
      <c r="E539" s="4" t="s">
        <v>170</v>
      </c>
      <c r="F539" s="4" t="s">
        <v>1275</v>
      </c>
      <c r="G539" s="4"/>
      <c r="H539" s="4"/>
    </row>
    <row r="540" spans="1:8" ht="27.6">
      <c r="A540" s="4">
        <v>137</v>
      </c>
      <c r="B540" s="4" t="s">
        <v>468</v>
      </c>
      <c r="C540" s="4" t="s">
        <v>1925</v>
      </c>
      <c r="D540" s="4" t="s">
        <v>469</v>
      </c>
      <c r="E540" s="4" t="s">
        <v>2485</v>
      </c>
      <c r="F540" s="4" t="s">
        <v>1520</v>
      </c>
      <c r="G540" s="4" t="s">
        <v>34</v>
      </c>
      <c r="H540" s="4" t="s">
        <v>1927</v>
      </c>
    </row>
    <row r="541" spans="1:8">
      <c r="A541" s="4">
        <v>137</v>
      </c>
      <c r="B541" s="4" t="s">
        <v>468</v>
      </c>
      <c r="C541" s="4" t="s">
        <v>1925</v>
      </c>
      <c r="D541" s="4" t="s">
        <v>469</v>
      </c>
      <c r="E541" s="4" t="s">
        <v>2486</v>
      </c>
      <c r="F541" s="4" t="s">
        <v>2487</v>
      </c>
      <c r="G541" s="4"/>
      <c r="H541" s="4"/>
    </row>
    <row r="542" spans="1:8">
      <c r="A542" s="4">
        <v>137</v>
      </c>
      <c r="B542" s="4" t="s">
        <v>468</v>
      </c>
      <c r="C542" s="4" t="s">
        <v>1930</v>
      </c>
      <c r="D542" s="4" t="s">
        <v>470</v>
      </c>
      <c r="E542" s="4" t="s">
        <v>470</v>
      </c>
      <c r="F542" s="4" t="s">
        <v>1521</v>
      </c>
      <c r="G542" s="4"/>
      <c r="H542" s="4"/>
    </row>
    <row r="543" spans="1:8" ht="27.6">
      <c r="A543" s="4">
        <v>138</v>
      </c>
      <c r="B543" s="4" t="s">
        <v>471</v>
      </c>
      <c r="C543" s="4" t="s">
        <v>1925</v>
      </c>
      <c r="D543" s="4" t="s">
        <v>472</v>
      </c>
      <c r="E543" s="4" t="s">
        <v>2488</v>
      </c>
      <c r="F543" s="4" t="s">
        <v>1522</v>
      </c>
      <c r="G543" s="4" t="s">
        <v>34</v>
      </c>
      <c r="H543" s="4" t="s">
        <v>1927</v>
      </c>
    </row>
    <row r="544" spans="1:8">
      <c r="A544" s="4">
        <v>138</v>
      </c>
      <c r="B544" s="4" t="s">
        <v>471</v>
      </c>
      <c r="C544" s="4" t="s">
        <v>1925</v>
      </c>
      <c r="D544" s="4" t="s">
        <v>472</v>
      </c>
      <c r="E544" s="4" t="s">
        <v>2489</v>
      </c>
      <c r="F544" s="4" t="s">
        <v>2490</v>
      </c>
      <c r="G544" s="4"/>
      <c r="H544" s="4"/>
    </row>
    <row r="545" spans="1:8">
      <c r="A545" s="4">
        <v>138</v>
      </c>
      <c r="B545" s="4" t="s">
        <v>471</v>
      </c>
      <c r="C545" s="4" t="s">
        <v>1925</v>
      </c>
      <c r="D545" s="4" t="s">
        <v>472</v>
      </c>
      <c r="E545" s="4" t="s">
        <v>2491</v>
      </c>
      <c r="F545" s="4" t="s">
        <v>2492</v>
      </c>
      <c r="G545" s="4"/>
      <c r="H545" s="4"/>
    </row>
    <row r="546" spans="1:8">
      <c r="A546" s="4">
        <v>138</v>
      </c>
      <c r="B546" s="4" t="s">
        <v>471</v>
      </c>
      <c r="C546" s="4" t="s">
        <v>1930</v>
      </c>
      <c r="D546" s="4" t="s">
        <v>33</v>
      </c>
      <c r="E546" s="4" t="s">
        <v>170</v>
      </c>
      <c r="F546" s="4" t="s">
        <v>1275</v>
      </c>
      <c r="G546" s="4"/>
      <c r="H546" s="4"/>
    </row>
    <row r="547" spans="1:8" ht="27.6">
      <c r="A547" s="4">
        <v>139</v>
      </c>
      <c r="B547" s="4" t="s">
        <v>473</v>
      </c>
      <c r="C547" s="4" t="s">
        <v>1925</v>
      </c>
      <c r="D547" s="4" t="s">
        <v>474</v>
      </c>
      <c r="E547" s="4" t="s">
        <v>2493</v>
      </c>
      <c r="F547" s="4" t="s">
        <v>1523</v>
      </c>
      <c r="G547" s="4" t="s">
        <v>34</v>
      </c>
      <c r="H547" s="4" t="s">
        <v>1927</v>
      </c>
    </row>
    <row r="548" spans="1:8">
      <c r="A548" s="4">
        <v>139</v>
      </c>
      <c r="B548" s="4" t="s">
        <v>473</v>
      </c>
      <c r="C548" s="4" t="s">
        <v>1925</v>
      </c>
      <c r="D548" s="4" t="s">
        <v>474</v>
      </c>
      <c r="E548" s="4" t="s">
        <v>2494</v>
      </c>
      <c r="F548" s="4" t="s">
        <v>2495</v>
      </c>
      <c r="G548" s="4"/>
      <c r="H548" s="4"/>
    </row>
    <row r="549" spans="1:8">
      <c r="A549" s="4">
        <v>139</v>
      </c>
      <c r="B549" s="4" t="s">
        <v>473</v>
      </c>
      <c r="C549" s="4" t="s">
        <v>1930</v>
      </c>
      <c r="D549" s="4" t="s">
        <v>33</v>
      </c>
      <c r="E549" s="4" t="s">
        <v>170</v>
      </c>
      <c r="F549" s="4" t="s">
        <v>1275</v>
      </c>
      <c r="G549" s="4"/>
      <c r="H549" s="4"/>
    </row>
    <row r="550" spans="1:8" ht="27.6">
      <c r="A550" s="4">
        <v>140</v>
      </c>
      <c r="B550" s="4" t="s">
        <v>475</v>
      </c>
      <c r="C550" s="4" t="s">
        <v>1925</v>
      </c>
      <c r="D550" s="4" t="s">
        <v>476</v>
      </c>
      <c r="E550" s="4" t="s">
        <v>2496</v>
      </c>
      <c r="F550" s="4" t="s">
        <v>1524</v>
      </c>
      <c r="G550" s="4" t="s">
        <v>211</v>
      </c>
      <c r="H550" s="4" t="s">
        <v>1927</v>
      </c>
    </row>
    <row r="551" spans="1:8">
      <c r="A551" s="4">
        <v>140</v>
      </c>
      <c r="B551" s="4" t="s">
        <v>475</v>
      </c>
      <c r="C551" s="4" t="s">
        <v>1925</v>
      </c>
      <c r="D551" s="4" t="s">
        <v>476</v>
      </c>
      <c r="E551" s="4" t="s">
        <v>2497</v>
      </c>
      <c r="F551" s="4" t="s">
        <v>2498</v>
      </c>
      <c r="G551" s="4"/>
      <c r="H551" s="4"/>
    </row>
    <row r="552" spans="1:8">
      <c r="A552" s="4">
        <v>140</v>
      </c>
      <c r="B552" s="4" t="s">
        <v>475</v>
      </c>
      <c r="C552" s="4" t="s">
        <v>1925</v>
      </c>
      <c r="D552" s="4" t="s">
        <v>476</v>
      </c>
      <c r="E552" s="4" t="s">
        <v>2499</v>
      </c>
      <c r="F552" s="4" t="s">
        <v>2500</v>
      </c>
      <c r="G552" s="4"/>
      <c r="H552" s="4"/>
    </row>
    <row r="553" spans="1:8">
      <c r="A553" s="4">
        <v>140</v>
      </c>
      <c r="B553" s="4" t="s">
        <v>475</v>
      </c>
      <c r="C553" s="4" t="s">
        <v>1930</v>
      </c>
      <c r="D553" s="4" t="s">
        <v>477</v>
      </c>
      <c r="E553" s="4" t="s">
        <v>477</v>
      </c>
      <c r="F553" s="4" t="s">
        <v>1525</v>
      </c>
      <c r="G553" s="4"/>
      <c r="H553" s="4"/>
    </row>
    <row r="554" spans="1:8" ht="27.6">
      <c r="A554" s="4">
        <v>141</v>
      </c>
      <c r="B554" s="4" t="s">
        <v>478</v>
      </c>
      <c r="C554" s="4" t="s">
        <v>1925</v>
      </c>
      <c r="D554" s="4" t="s">
        <v>479</v>
      </c>
      <c r="E554" s="4" t="s">
        <v>2501</v>
      </c>
      <c r="F554" s="4" t="s">
        <v>1526</v>
      </c>
      <c r="G554" s="4" t="s">
        <v>211</v>
      </c>
      <c r="H554" s="4" t="s">
        <v>1927</v>
      </c>
    </row>
    <row r="555" spans="1:8">
      <c r="A555" s="4">
        <v>141</v>
      </c>
      <c r="B555" s="4" t="s">
        <v>478</v>
      </c>
      <c r="C555" s="4" t="s">
        <v>1925</v>
      </c>
      <c r="D555" s="4" t="s">
        <v>479</v>
      </c>
      <c r="E555" s="4" t="s">
        <v>2502</v>
      </c>
      <c r="F555" s="4" t="s">
        <v>2503</v>
      </c>
      <c r="G555" s="4"/>
      <c r="H555" s="4"/>
    </row>
    <row r="556" spans="1:8">
      <c r="A556" s="4">
        <v>141</v>
      </c>
      <c r="B556" s="4" t="s">
        <v>478</v>
      </c>
      <c r="C556" s="4" t="s">
        <v>1930</v>
      </c>
      <c r="D556" s="4" t="s">
        <v>480</v>
      </c>
      <c r="E556" s="4" t="s">
        <v>480</v>
      </c>
      <c r="F556" s="4" t="s">
        <v>1527</v>
      </c>
      <c r="G556" s="4"/>
      <c r="H556" s="4"/>
    </row>
    <row r="557" spans="1:8">
      <c r="A557" s="4">
        <v>141</v>
      </c>
      <c r="B557" s="4" t="s">
        <v>478</v>
      </c>
      <c r="C557" s="4" t="s">
        <v>1936</v>
      </c>
      <c r="D557" s="4" t="s">
        <v>342</v>
      </c>
      <c r="E557" s="4" t="s">
        <v>1068</v>
      </c>
      <c r="F557" s="4" t="s">
        <v>1444</v>
      </c>
      <c r="G557" s="4"/>
      <c r="H557" s="4"/>
    </row>
    <row r="558" spans="1:8" ht="27.6">
      <c r="A558" s="4">
        <v>142</v>
      </c>
      <c r="B558" s="4" t="s">
        <v>481</v>
      </c>
      <c r="C558" s="4" t="s">
        <v>1925</v>
      </c>
      <c r="D558" s="4" t="s">
        <v>482</v>
      </c>
      <c r="E558" s="4" t="s">
        <v>2504</v>
      </c>
      <c r="F558" s="4" t="s">
        <v>1528</v>
      </c>
      <c r="G558" s="4" t="s">
        <v>414</v>
      </c>
      <c r="H558" s="4" t="s">
        <v>1927</v>
      </c>
    </row>
    <row r="559" spans="1:8">
      <c r="A559" s="4">
        <v>142</v>
      </c>
      <c r="B559" s="4" t="s">
        <v>481</v>
      </c>
      <c r="C559" s="4" t="s">
        <v>1925</v>
      </c>
      <c r="D559" s="4" t="s">
        <v>482</v>
      </c>
      <c r="E559" s="4" t="s">
        <v>2505</v>
      </c>
      <c r="F559" s="4" t="s">
        <v>2506</v>
      </c>
      <c r="G559" s="4"/>
      <c r="H559" s="4"/>
    </row>
    <row r="560" spans="1:8">
      <c r="A560" s="4">
        <v>142</v>
      </c>
      <c r="B560" s="4" t="s">
        <v>481</v>
      </c>
      <c r="C560" s="4" t="s">
        <v>1925</v>
      </c>
      <c r="D560" s="4" t="s">
        <v>482</v>
      </c>
      <c r="E560" s="4" t="s">
        <v>2507</v>
      </c>
      <c r="F560" s="4" t="s">
        <v>2508</v>
      </c>
      <c r="G560" s="4"/>
      <c r="H560" s="4"/>
    </row>
    <row r="561" spans="1:8">
      <c r="A561" s="4">
        <v>142</v>
      </c>
      <c r="B561" s="4" t="s">
        <v>481</v>
      </c>
      <c r="C561" s="4" t="s">
        <v>1930</v>
      </c>
      <c r="D561" s="4" t="s">
        <v>483</v>
      </c>
      <c r="E561" s="4" t="s">
        <v>483</v>
      </c>
      <c r="F561" s="4" t="s">
        <v>1529</v>
      </c>
      <c r="G561" s="4"/>
      <c r="H561" s="4"/>
    </row>
    <row r="562" spans="1:8" ht="27.6">
      <c r="A562" s="4">
        <v>143</v>
      </c>
      <c r="B562" s="4" t="s">
        <v>484</v>
      </c>
      <c r="C562" s="4" t="s">
        <v>1925</v>
      </c>
      <c r="D562" s="4" t="s">
        <v>485</v>
      </c>
      <c r="E562" s="4" t="s">
        <v>2509</v>
      </c>
      <c r="F562" s="4" t="s">
        <v>1530</v>
      </c>
      <c r="G562" s="4" t="s">
        <v>414</v>
      </c>
      <c r="H562" s="4" t="s">
        <v>1927</v>
      </c>
    </row>
    <row r="563" spans="1:8">
      <c r="A563" s="4">
        <v>143</v>
      </c>
      <c r="B563" s="4" t="s">
        <v>484</v>
      </c>
      <c r="C563" s="4" t="s">
        <v>1925</v>
      </c>
      <c r="D563" s="4" t="s">
        <v>485</v>
      </c>
      <c r="E563" s="4" t="s">
        <v>2510</v>
      </c>
      <c r="F563" s="4" t="s">
        <v>2511</v>
      </c>
      <c r="G563" s="4"/>
      <c r="H563" s="4"/>
    </row>
    <row r="564" spans="1:8">
      <c r="A564" s="4">
        <v>143</v>
      </c>
      <c r="B564" s="4" t="s">
        <v>484</v>
      </c>
      <c r="C564" s="4" t="s">
        <v>1930</v>
      </c>
      <c r="D564" s="4" t="s">
        <v>486</v>
      </c>
      <c r="E564" s="4" t="s">
        <v>486</v>
      </c>
      <c r="F564" s="4" t="s">
        <v>1531</v>
      </c>
      <c r="G564" s="4"/>
      <c r="H564" s="4"/>
    </row>
    <row r="565" spans="1:8">
      <c r="A565" s="4">
        <v>143</v>
      </c>
      <c r="B565" s="4" t="s">
        <v>484</v>
      </c>
      <c r="C565" s="4" t="s">
        <v>1936</v>
      </c>
      <c r="D565" s="4" t="s">
        <v>487</v>
      </c>
      <c r="E565" s="4" t="s">
        <v>493</v>
      </c>
      <c r="F565" s="4" t="s">
        <v>1532</v>
      </c>
      <c r="G565" s="4"/>
      <c r="H565" s="4"/>
    </row>
    <row r="566" spans="1:8" ht="27.6">
      <c r="A566" s="4">
        <v>144</v>
      </c>
      <c r="B566" s="4" t="s">
        <v>488</v>
      </c>
      <c r="C566" s="4" t="s">
        <v>1925</v>
      </c>
      <c r="D566" s="4" t="s">
        <v>489</v>
      </c>
      <c r="E566" s="4" t="s">
        <v>2512</v>
      </c>
      <c r="F566" s="4" t="s">
        <v>1533</v>
      </c>
      <c r="G566" s="4" t="s">
        <v>414</v>
      </c>
      <c r="H566" s="4" t="s">
        <v>1927</v>
      </c>
    </row>
    <row r="567" spans="1:8">
      <c r="A567" s="4">
        <v>144</v>
      </c>
      <c r="B567" s="4" t="s">
        <v>488</v>
      </c>
      <c r="C567" s="4" t="s">
        <v>1925</v>
      </c>
      <c r="D567" s="4" t="s">
        <v>489</v>
      </c>
      <c r="E567" s="4" t="s">
        <v>2513</v>
      </c>
      <c r="F567" s="4" t="s">
        <v>2514</v>
      </c>
      <c r="G567" s="4"/>
      <c r="H567" s="4"/>
    </row>
    <row r="568" spans="1:8">
      <c r="A568" s="4">
        <v>144</v>
      </c>
      <c r="B568" s="4" t="s">
        <v>488</v>
      </c>
      <c r="C568" s="4" t="s">
        <v>1925</v>
      </c>
      <c r="D568" s="4" t="s">
        <v>489</v>
      </c>
      <c r="E568" s="4" t="s">
        <v>2515</v>
      </c>
      <c r="F568" s="4" t="s">
        <v>2516</v>
      </c>
      <c r="G568" s="4"/>
      <c r="H568" s="4"/>
    </row>
    <row r="569" spans="1:8">
      <c r="A569" s="4">
        <v>144</v>
      </c>
      <c r="B569" s="4" t="s">
        <v>488</v>
      </c>
      <c r="C569" s="4" t="s">
        <v>1930</v>
      </c>
      <c r="D569" s="4" t="s">
        <v>490</v>
      </c>
      <c r="E569" s="4" t="s">
        <v>490</v>
      </c>
      <c r="F569" s="4" t="s">
        <v>1534</v>
      </c>
      <c r="G569" s="4"/>
      <c r="H569" s="4"/>
    </row>
    <row r="570" spans="1:8" ht="27.6">
      <c r="A570" s="4">
        <v>145</v>
      </c>
      <c r="B570" s="4" t="s">
        <v>491</v>
      </c>
      <c r="C570" s="4" t="s">
        <v>1925</v>
      </c>
      <c r="D570" s="4" t="s">
        <v>492</v>
      </c>
      <c r="E570" s="4" t="s">
        <v>2517</v>
      </c>
      <c r="F570" s="4" t="s">
        <v>1535</v>
      </c>
      <c r="G570" s="4" t="s">
        <v>414</v>
      </c>
      <c r="H570" s="4" t="s">
        <v>1927</v>
      </c>
    </row>
    <row r="571" spans="1:8" ht="27.6">
      <c r="A571" s="4">
        <v>145</v>
      </c>
      <c r="B571" s="4" t="s">
        <v>491</v>
      </c>
      <c r="C571" s="4" t="s">
        <v>1925</v>
      </c>
      <c r="D571" s="4" t="s">
        <v>492</v>
      </c>
      <c r="E571" s="4" t="s">
        <v>2518</v>
      </c>
      <c r="F571" s="4" t="s">
        <v>2519</v>
      </c>
      <c r="G571" s="4"/>
      <c r="H571" s="4"/>
    </row>
    <row r="572" spans="1:8" ht="27.6">
      <c r="A572" s="4">
        <v>145</v>
      </c>
      <c r="B572" s="4" t="s">
        <v>491</v>
      </c>
      <c r="C572" s="4" t="s">
        <v>1925</v>
      </c>
      <c r="D572" s="4" t="s">
        <v>492</v>
      </c>
      <c r="E572" s="4" t="s">
        <v>2520</v>
      </c>
      <c r="F572" s="4" t="s">
        <v>2521</v>
      </c>
      <c r="G572" s="4"/>
      <c r="H572" s="4"/>
    </row>
    <row r="573" spans="1:8">
      <c r="A573" s="4">
        <v>145</v>
      </c>
      <c r="B573" s="4" t="s">
        <v>491</v>
      </c>
      <c r="C573" s="4" t="s">
        <v>1930</v>
      </c>
      <c r="D573" s="4" t="s">
        <v>493</v>
      </c>
      <c r="E573" s="4" t="s">
        <v>493</v>
      </c>
      <c r="F573" s="4" t="s">
        <v>1532</v>
      </c>
      <c r="G573" s="4"/>
      <c r="H573" s="4"/>
    </row>
    <row r="574" spans="1:8" ht="27.6">
      <c r="A574" s="4">
        <v>146</v>
      </c>
      <c r="B574" s="4" t="s">
        <v>494</v>
      </c>
      <c r="C574" s="4" t="s">
        <v>1925</v>
      </c>
      <c r="D574" s="4" t="s">
        <v>495</v>
      </c>
      <c r="E574" s="4" t="s">
        <v>2522</v>
      </c>
      <c r="F574" s="4" t="s">
        <v>1536</v>
      </c>
      <c r="G574" s="4" t="s">
        <v>414</v>
      </c>
      <c r="H574" s="4" t="s">
        <v>1927</v>
      </c>
    </row>
    <row r="575" spans="1:8">
      <c r="A575" s="4">
        <v>146</v>
      </c>
      <c r="B575" s="4" t="s">
        <v>494</v>
      </c>
      <c r="C575" s="4" t="s">
        <v>1925</v>
      </c>
      <c r="D575" s="4" t="s">
        <v>495</v>
      </c>
      <c r="E575" s="4" t="s">
        <v>2523</v>
      </c>
      <c r="F575" s="4" t="s">
        <v>2524</v>
      </c>
      <c r="G575" s="4"/>
      <c r="H575" s="4"/>
    </row>
    <row r="576" spans="1:8">
      <c r="A576" s="4">
        <v>146</v>
      </c>
      <c r="B576" s="4" t="s">
        <v>494</v>
      </c>
      <c r="C576" s="4" t="s">
        <v>1930</v>
      </c>
      <c r="D576" s="4" t="s">
        <v>487</v>
      </c>
      <c r="E576" s="4" t="s">
        <v>493</v>
      </c>
      <c r="F576" s="4" t="s">
        <v>1532</v>
      </c>
      <c r="G576" s="4"/>
      <c r="H576" s="4"/>
    </row>
    <row r="577" spans="1:8" ht="27.6">
      <c r="A577" s="4">
        <v>147</v>
      </c>
      <c r="B577" s="4" t="s">
        <v>496</v>
      </c>
      <c r="C577" s="4" t="s">
        <v>1925</v>
      </c>
      <c r="D577" s="4" t="s">
        <v>497</v>
      </c>
      <c r="E577" s="4" t="s">
        <v>2525</v>
      </c>
      <c r="F577" s="4" t="s">
        <v>1537</v>
      </c>
      <c r="G577" s="4" t="s">
        <v>414</v>
      </c>
      <c r="H577" s="4" t="s">
        <v>1927</v>
      </c>
    </row>
    <row r="578" spans="1:8">
      <c r="A578" s="4">
        <v>147</v>
      </c>
      <c r="B578" s="4" t="s">
        <v>496</v>
      </c>
      <c r="C578" s="4" t="s">
        <v>1925</v>
      </c>
      <c r="D578" s="4" t="s">
        <v>497</v>
      </c>
      <c r="E578" s="4" t="s">
        <v>2526</v>
      </c>
      <c r="F578" s="4" t="s">
        <v>2527</v>
      </c>
      <c r="G578" s="4"/>
      <c r="H578" s="4"/>
    </row>
    <row r="579" spans="1:8">
      <c r="A579" s="4">
        <v>147</v>
      </c>
      <c r="B579" s="4" t="s">
        <v>496</v>
      </c>
      <c r="C579" s="4" t="s">
        <v>1925</v>
      </c>
      <c r="D579" s="4" t="s">
        <v>497</v>
      </c>
      <c r="E579" s="4" t="s">
        <v>2528</v>
      </c>
      <c r="F579" s="4" t="s">
        <v>2529</v>
      </c>
      <c r="G579" s="4"/>
      <c r="H579" s="4"/>
    </row>
    <row r="580" spans="1:8">
      <c r="A580" s="4">
        <v>147</v>
      </c>
      <c r="B580" s="4" t="s">
        <v>496</v>
      </c>
      <c r="C580" s="4" t="s">
        <v>1930</v>
      </c>
      <c r="D580" s="4" t="s">
        <v>487</v>
      </c>
      <c r="E580" s="4" t="s">
        <v>493</v>
      </c>
      <c r="F580" s="4" t="s">
        <v>1532</v>
      </c>
      <c r="G580" s="4"/>
      <c r="H580" s="4"/>
    </row>
    <row r="581" spans="1:8" ht="27.6">
      <c r="A581" s="4">
        <v>148</v>
      </c>
      <c r="B581" s="4" t="s">
        <v>498</v>
      </c>
      <c r="C581" s="4" t="s">
        <v>1925</v>
      </c>
      <c r="D581" s="4" t="s">
        <v>499</v>
      </c>
      <c r="E581" s="4" t="s">
        <v>2530</v>
      </c>
      <c r="F581" s="4" t="s">
        <v>1538</v>
      </c>
      <c r="G581" s="4" t="s">
        <v>414</v>
      </c>
      <c r="H581" s="4" t="s">
        <v>1927</v>
      </c>
    </row>
    <row r="582" spans="1:8">
      <c r="A582" s="4">
        <v>148</v>
      </c>
      <c r="B582" s="4" t="s">
        <v>498</v>
      </c>
      <c r="C582" s="4" t="s">
        <v>1925</v>
      </c>
      <c r="D582" s="4" t="s">
        <v>499</v>
      </c>
      <c r="E582" s="4" t="s">
        <v>2531</v>
      </c>
      <c r="F582" s="4" t="s">
        <v>2532</v>
      </c>
      <c r="G582" s="4"/>
      <c r="H582" s="4"/>
    </row>
    <row r="583" spans="1:8">
      <c r="A583" s="4">
        <v>148</v>
      </c>
      <c r="B583" s="4" t="s">
        <v>498</v>
      </c>
      <c r="C583" s="4" t="s">
        <v>1930</v>
      </c>
      <c r="D583" s="4" t="s">
        <v>487</v>
      </c>
      <c r="E583" s="4" t="s">
        <v>493</v>
      </c>
      <c r="F583" s="4" t="s">
        <v>1532</v>
      </c>
      <c r="G583" s="4"/>
      <c r="H583" s="4"/>
    </row>
    <row r="584" spans="1:8" ht="27.6">
      <c r="A584" s="4">
        <v>149</v>
      </c>
      <c r="B584" s="4" t="s">
        <v>500</v>
      </c>
      <c r="C584" s="4" t="s">
        <v>1925</v>
      </c>
      <c r="D584" s="4" t="s">
        <v>501</v>
      </c>
      <c r="E584" s="4" t="s">
        <v>2533</v>
      </c>
      <c r="F584" s="4" t="s">
        <v>1539</v>
      </c>
      <c r="G584" s="4" t="s">
        <v>254</v>
      </c>
      <c r="H584" s="4" t="s">
        <v>1927</v>
      </c>
    </row>
    <row r="585" spans="1:8">
      <c r="A585" s="4">
        <v>149</v>
      </c>
      <c r="B585" s="4" t="s">
        <v>500</v>
      </c>
      <c r="C585" s="4" t="s">
        <v>1925</v>
      </c>
      <c r="D585" s="4" t="s">
        <v>501</v>
      </c>
      <c r="E585" s="4" t="s">
        <v>2534</v>
      </c>
      <c r="F585" s="4" t="s">
        <v>2535</v>
      </c>
      <c r="G585" s="4"/>
      <c r="H585" s="4"/>
    </row>
    <row r="586" spans="1:8">
      <c r="A586" s="4">
        <v>149</v>
      </c>
      <c r="B586" s="4" t="s">
        <v>500</v>
      </c>
      <c r="C586" s="4" t="s">
        <v>1925</v>
      </c>
      <c r="D586" s="4" t="s">
        <v>501</v>
      </c>
      <c r="E586" s="4" t="s">
        <v>2536</v>
      </c>
      <c r="F586" s="4" t="s">
        <v>2537</v>
      </c>
      <c r="G586" s="4"/>
      <c r="H586" s="4"/>
    </row>
    <row r="587" spans="1:8">
      <c r="A587" s="4">
        <v>149</v>
      </c>
      <c r="B587" s="4" t="s">
        <v>500</v>
      </c>
      <c r="C587" s="4" t="s">
        <v>1930</v>
      </c>
      <c r="D587" s="4" t="s">
        <v>253</v>
      </c>
      <c r="E587" s="4" t="s">
        <v>384</v>
      </c>
      <c r="F587" s="4" t="s">
        <v>1392</v>
      </c>
      <c r="G587" s="4"/>
      <c r="H587" s="4"/>
    </row>
    <row r="588" spans="1:8" ht="27.6">
      <c r="A588" s="4">
        <v>150</v>
      </c>
      <c r="B588" s="4" t="s">
        <v>502</v>
      </c>
      <c r="C588" s="4" t="s">
        <v>1925</v>
      </c>
      <c r="D588" s="4" t="s">
        <v>503</v>
      </c>
      <c r="E588" s="4" t="s">
        <v>2538</v>
      </c>
      <c r="F588" s="4" t="s">
        <v>1540</v>
      </c>
      <c r="G588" s="4" t="s">
        <v>254</v>
      </c>
      <c r="H588" s="4" t="s">
        <v>1927</v>
      </c>
    </row>
    <row r="589" spans="1:8">
      <c r="A589" s="4">
        <v>150</v>
      </c>
      <c r="B589" s="4" t="s">
        <v>502</v>
      </c>
      <c r="C589" s="4" t="s">
        <v>1925</v>
      </c>
      <c r="D589" s="4" t="s">
        <v>503</v>
      </c>
      <c r="E589" s="4" t="s">
        <v>2539</v>
      </c>
      <c r="F589" s="4" t="s">
        <v>2540</v>
      </c>
      <c r="G589" s="4"/>
      <c r="H589" s="4"/>
    </row>
    <row r="590" spans="1:8">
      <c r="A590" s="4">
        <v>150</v>
      </c>
      <c r="B590" s="4" t="s">
        <v>502</v>
      </c>
      <c r="C590" s="4" t="s">
        <v>1930</v>
      </c>
      <c r="D590" s="4" t="s">
        <v>253</v>
      </c>
      <c r="E590" s="4" t="s">
        <v>384</v>
      </c>
      <c r="F590" s="4" t="s">
        <v>1392</v>
      </c>
      <c r="G590" s="4"/>
      <c r="H590" s="4"/>
    </row>
    <row r="591" spans="1:8" ht="27.6">
      <c r="A591" s="4">
        <v>151</v>
      </c>
      <c r="B591" s="4" t="s">
        <v>504</v>
      </c>
      <c r="C591" s="4" t="s">
        <v>1925</v>
      </c>
      <c r="D591" s="4" t="s">
        <v>505</v>
      </c>
      <c r="E591" s="4" t="s">
        <v>2541</v>
      </c>
      <c r="F591" s="4" t="s">
        <v>1541</v>
      </c>
      <c r="G591" s="4" t="s">
        <v>254</v>
      </c>
      <c r="H591" s="4" t="s">
        <v>1927</v>
      </c>
    </row>
    <row r="592" spans="1:8">
      <c r="A592" s="4">
        <v>151</v>
      </c>
      <c r="B592" s="4" t="s">
        <v>504</v>
      </c>
      <c r="C592" s="4" t="s">
        <v>1925</v>
      </c>
      <c r="D592" s="4" t="s">
        <v>505</v>
      </c>
      <c r="E592" s="4" t="s">
        <v>2542</v>
      </c>
      <c r="F592" s="4" t="s">
        <v>2543</v>
      </c>
      <c r="G592" s="4"/>
      <c r="H592" s="4"/>
    </row>
    <row r="593" spans="1:8">
      <c r="A593" s="4">
        <v>151</v>
      </c>
      <c r="B593" s="4" t="s">
        <v>504</v>
      </c>
      <c r="C593" s="4" t="s">
        <v>1925</v>
      </c>
      <c r="D593" s="4" t="s">
        <v>505</v>
      </c>
      <c r="E593" s="4" t="s">
        <v>2544</v>
      </c>
      <c r="F593" s="4" t="s">
        <v>2545</v>
      </c>
      <c r="G593" s="4"/>
      <c r="H593" s="4"/>
    </row>
    <row r="594" spans="1:8">
      <c r="A594" s="4">
        <v>151</v>
      </c>
      <c r="B594" s="4" t="s">
        <v>504</v>
      </c>
      <c r="C594" s="4" t="s">
        <v>1930</v>
      </c>
      <c r="D594" s="4" t="s">
        <v>253</v>
      </c>
      <c r="E594" s="4" t="s">
        <v>384</v>
      </c>
      <c r="F594" s="4" t="s">
        <v>1392</v>
      </c>
      <c r="G594" s="4"/>
      <c r="H594" s="4"/>
    </row>
    <row r="595" spans="1:8" ht="27.6">
      <c r="A595" s="4">
        <v>152</v>
      </c>
      <c r="B595" s="4" t="s">
        <v>506</v>
      </c>
      <c r="C595" s="4" t="s">
        <v>1925</v>
      </c>
      <c r="D595" s="4" t="s">
        <v>507</v>
      </c>
      <c r="E595" s="4" t="s">
        <v>2546</v>
      </c>
      <c r="F595" s="4" t="s">
        <v>1542</v>
      </c>
      <c r="G595" s="4" t="s">
        <v>254</v>
      </c>
      <c r="H595" s="4" t="s">
        <v>1927</v>
      </c>
    </row>
    <row r="596" spans="1:8">
      <c r="A596" s="4">
        <v>152</v>
      </c>
      <c r="B596" s="4" t="s">
        <v>506</v>
      </c>
      <c r="C596" s="4" t="s">
        <v>1925</v>
      </c>
      <c r="D596" s="4" t="s">
        <v>507</v>
      </c>
      <c r="E596" s="4" t="s">
        <v>2547</v>
      </c>
      <c r="F596" s="4" t="s">
        <v>2548</v>
      </c>
      <c r="G596" s="4"/>
      <c r="H596" s="4"/>
    </row>
    <row r="597" spans="1:8">
      <c r="A597" s="4">
        <v>152</v>
      </c>
      <c r="B597" s="4" t="s">
        <v>506</v>
      </c>
      <c r="C597" s="4" t="s">
        <v>1930</v>
      </c>
      <c r="D597" s="4" t="s">
        <v>253</v>
      </c>
      <c r="E597" s="4" t="s">
        <v>384</v>
      </c>
      <c r="F597" s="4" t="s">
        <v>1392</v>
      </c>
      <c r="G597" s="4"/>
      <c r="H597" s="4"/>
    </row>
    <row r="598" spans="1:8" ht="27.6">
      <c r="A598" s="4">
        <v>153</v>
      </c>
      <c r="B598" s="4" t="s">
        <v>508</v>
      </c>
      <c r="C598" s="4" t="s">
        <v>1925</v>
      </c>
      <c r="D598" s="4" t="s">
        <v>509</v>
      </c>
      <c r="E598" s="4" t="s">
        <v>2549</v>
      </c>
      <c r="F598" s="4" t="s">
        <v>1543</v>
      </c>
      <c r="G598" s="4" t="s">
        <v>34</v>
      </c>
      <c r="H598" s="4" t="s">
        <v>1927</v>
      </c>
    </row>
    <row r="599" spans="1:8">
      <c r="A599" s="4">
        <v>153</v>
      </c>
      <c r="B599" s="4" t="s">
        <v>508</v>
      </c>
      <c r="C599" s="4" t="s">
        <v>1925</v>
      </c>
      <c r="D599" s="4" t="s">
        <v>509</v>
      </c>
      <c r="E599" s="4" t="s">
        <v>2550</v>
      </c>
      <c r="F599" s="4" t="s">
        <v>2551</v>
      </c>
      <c r="G599" s="4"/>
      <c r="H599" s="4"/>
    </row>
    <row r="600" spans="1:8">
      <c r="A600" s="4">
        <v>153</v>
      </c>
      <c r="B600" s="4" t="s">
        <v>508</v>
      </c>
      <c r="C600" s="4" t="s">
        <v>1925</v>
      </c>
      <c r="D600" s="4" t="s">
        <v>509</v>
      </c>
      <c r="E600" s="4" t="s">
        <v>2552</v>
      </c>
      <c r="F600" s="4" t="s">
        <v>2553</v>
      </c>
      <c r="G600" s="4"/>
      <c r="H600" s="4"/>
    </row>
    <row r="601" spans="1:8">
      <c r="A601" s="4">
        <v>153</v>
      </c>
      <c r="B601" s="4" t="s">
        <v>508</v>
      </c>
      <c r="C601" s="4" t="s">
        <v>1930</v>
      </c>
      <c r="D601" s="4" t="s">
        <v>510</v>
      </c>
      <c r="E601" s="4" t="s">
        <v>510</v>
      </c>
      <c r="F601" s="4" t="s">
        <v>1544</v>
      </c>
      <c r="G601" s="4"/>
      <c r="H601" s="4"/>
    </row>
    <row r="602" spans="1:8">
      <c r="A602" s="4">
        <v>153</v>
      </c>
      <c r="B602" s="4" t="s">
        <v>508</v>
      </c>
      <c r="C602" s="4" t="s">
        <v>1936</v>
      </c>
      <c r="D602" s="4" t="s">
        <v>33</v>
      </c>
      <c r="E602" s="4" t="s">
        <v>170</v>
      </c>
      <c r="F602" s="4" t="s">
        <v>1275</v>
      </c>
      <c r="G602" s="4"/>
      <c r="H602" s="4"/>
    </row>
    <row r="603" spans="1:8" ht="27.6">
      <c r="A603" s="4">
        <v>154</v>
      </c>
      <c r="B603" s="4" t="s">
        <v>511</v>
      </c>
      <c r="C603" s="4" t="s">
        <v>1925</v>
      </c>
      <c r="D603" s="4" t="s">
        <v>512</v>
      </c>
      <c r="E603" s="4" t="s">
        <v>2554</v>
      </c>
      <c r="F603" s="4" t="s">
        <v>1545</v>
      </c>
      <c r="G603" s="4" t="s">
        <v>34</v>
      </c>
      <c r="H603" s="4" t="s">
        <v>1927</v>
      </c>
    </row>
    <row r="604" spans="1:8">
      <c r="A604" s="4">
        <v>154</v>
      </c>
      <c r="B604" s="4" t="s">
        <v>511</v>
      </c>
      <c r="C604" s="4" t="s">
        <v>1925</v>
      </c>
      <c r="D604" s="4" t="s">
        <v>512</v>
      </c>
      <c r="E604" s="4" t="s">
        <v>2555</v>
      </c>
      <c r="F604" s="4" t="s">
        <v>2556</v>
      </c>
      <c r="G604" s="4"/>
      <c r="H604" s="4"/>
    </row>
    <row r="605" spans="1:8">
      <c r="A605" s="4">
        <v>154</v>
      </c>
      <c r="B605" s="4" t="s">
        <v>511</v>
      </c>
      <c r="C605" s="4" t="s">
        <v>1930</v>
      </c>
      <c r="D605" s="4" t="s">
        <v>33</v>
      </c>
      <c r="E605" s="4" t="s">
        <v>170</v>
      </c>
      <c r="F605" s="4" t="s">
        <v>1275</v>
      </c>
      <c r="G605" s="4"/>
      <c r="H605" s="4"/>
    </row>
    <row r="606" spans="1:8" ht="27.6">
      <c r="A606" s="4">
        <v>155</v>
      </c>
      <c r="B606" s="4" t="s">
        <v>513</v>
      </c>
      <c r="C606" s="4" t="s">
        <v>1925</v>
      </c>
      <c r="D606" s="4" t="s">
        <v>514</v>
      </c>
      <c r="E606" s="4" t="s">
        <v>2557</v>
      </c>
      <c r="F606" s="4" t="s">
        <v>1546</v>
      </c>
      <c r="G606" s="4" t="s">
        <v>34</v>
      </c>
      <c r="H606" s="4" t="s">
        <v>1927</v>
      </c>
    </row>
    <row r="607" spans="1:8">
      <c r="A607" s="4">
        <v>155</v>
      </c>
      <c r="B607" s="4" t="s">
        <v>513</v>
      </c>
      <c r="C607" s="4" t="s">
        <v>1925</v>
      </c>
      <c r="D607" s="4" t="s">
        <v>514</v>
      </c>
      <c r="E607" s="4" t="s">
        <v>2558</v>
      </c>
      <c r="F607" s="4" t="s">
        <v>2559</v>
      </c>
      <c r="G607" s="4"/>
      <c r="H607" s="4"/>
    </row>
    <row r="608" spans="1:8">
      <c r="A608" s="4">
        <v>155</v>
      </c>
      <c r="B608" s="4" t="s">
        <v>513</v>
      </c>
      <c r="C608" s="4" t="s">
        <v>1925</v>
      </c>
      <c r="D608" s="4" t="s">
        <v>514</v>
      </c>
      <c r="E608" s="4" t="s">
        <v>2560</v>
      </c>
      <c r="F608" s="4" t="s">
        <v>2561</v>
      </c>
      <c r="G608" s="4"/>
      <c r="H608" s="4"/>
    </row>
    <row r="609" spans="1:8">
      <c r="A609" s="4">
        <v>155</v>
      </c>
      <c r="B609" s="4" t="s">
        <v>513</v>
      </c>
      <c r="C609" s="4" t="s">
        <v>1930</v>
      </c>
      <c r="D609" s="4" t="s">
        <v>33</v>
      </c>
      <c r="E609" s="4" t="s">
        <v>170</v>
      </c>
      <c r="F609" s="4" t="s">
        <v>1275</v>
      </c>
      <c r="G609" s="4"/>
      <c r="H609" s="4"/>
    </row>
    <row r="610" spans="1:8" ht="27.6">
      <c r="A610" s="4">
        <v>156</v>
      </c>
      <c r="B610" s="4" t="s">
        <v>515</v>
      </c>
      <c r="C610" s="4" t="s">
        <v>1925</v>
      </c>
      <c r="D610" s="4" t="s">
        <v>516</v>
      </c>
      <c r="E610" s="4" t="s">
        <v>2562</v>
      </c>
      <c r="F610" s="4" t="s">
        <v>1547</v>
      </c>
      <c r="G610" s="4" t="s">
        <v>184</v>
      </c>
      <c r="H610" s="4" t="s">
        <v>1927</v>
      </c>
    </row>
    <row r="611" spans="1:8">
      <c r="A611" s="4">
        <v>156</v>
      </c>
      <c r="B611" s="4" t="s">
        <v>515</v>
      </c>
      <c r="C611" s="4" t="s">
        <v>1925</v>
      </c>
      <c r="D611" s="4" t="s">
        <v>516</v>
      </c>
      <c r="E611" s="4" t="s">
        <v>2563</v>
      </c>
      <c r="F611" s="4" t="s">
        <v>2564</v>
      </c>
      <c r="G611" s="4"/>
      <c r="H611" s="4"/>
    </row>
    <row r="612" spans="1:8">
      <c r="A612" s="4">
        <v>156</v>
      </c>
      <c r="B612" s="4" t="s">
        <v>515</v>
      </c>
      <c r="C612" s="4" t="s">
        <v>1925</v>
      </c>
      <c r="D612" s="4" t="s">
        <v>516</v>
      </c>
      <c r="E612" s="4" t="s">
        <v>2565</v>
      </c>
      <c r="F612" s="4" t="s">
        <v>2566</v>
      </c>
      <c r="G612" s="4"/>
      <c r="H612" s="4"/>
    </row>
    <row r="613" spans="1:8">
      <c r="A613" s="4">
        <v>156</v>
      </c>
      <c r="B613" s="4" t="s">
        <v>515</v>
      </c>
      <c r="C613" s="4" t="s">
        <v>1930</v>
      </c>
      <c r="D613" s="4" t="s">
        <v>517</v>
      </c>
      <c r="E613" s="4" t="s">
        <v>517</v>
      </c>
      <c r="F613" s="4" t="s">
        <v>1548</v>
      </c>
      <c r="G613" s="4"/>
      <c r="H613" s="4"/>
    </row>
    <row r="614" spans="1:8">
      <c r="A614" s="4">
        <v>156</v>
      </c>
      <c r="B614" s="4" t="s">
        <v>515</v>
      </c>
      <c r="C614" s="4" t="s">
        <v>1936</v>
      </c>
      <c r="D614" s="4" t="s">
        <v>183</v>
      </c>
      <c r="E614" s="4" t="s">
        <v>191</v>
      </c>
      <c r="F614" s="4" t="s">
        <v>1354</v>
      </c>
      <c r="G614" s="4"/>
      <c r="H614" s="4"/>
    </row>
    <row r="615" spans="1:8" ht="27.6">
      <c r="A615" s="4">
        <v>157</v>
      </c>
      <c r="B615" s="4" t="s">
        <v>518</v>
      </c>
      <c r="C615" s="4" t="s">
        <v>1925</v>
      </c>
      <c r="D615" s="4" t="s">
        <v>519</v>
      </c>
      <c r="E615" s="4" t="s">
        <v>2567</v>
      </c>
      <c r="F615" s="4" t="s">
        <v>1549</v>
      </c>
      <c r="G615" s="4" t="s">
        <v>184</v>
      </c>
      <c r="H615" s="4" t="s">
        <v>1927</v>
      </c>
    </row>
    <row r="616" spans="1:8">
      <c r="A616" s="4">
        <v>157</v>
      </c>
      <c r="B616" s="4" t="s">
        <v>518</v>
      </c>
      <c r="C616" s="4" t="s">
        <v>1925</v>
      </c>
      <c r="D616" s="4" t="s">
        <v>519</v>
      </c>
      <c r="E616" s="4" t="s">
        <v>2568</v>
      </c>
      <c r="F616" s="4" t="s">
        <v>2569</v>
      </c>
      <c r="G616" s="4"/>
      <c r="H616" s="4"/>
    </row>
    <row r="617" spans="1:8">
      <c r="A617" s="4">
        <v>157</v>
      </c>
      <c r="B617" s="4" t="s">
        <v>518</v>
      </c>
      <c r="C617" s="4" t="s">
        <v>1930</v>
      </c>
      <c r="D617" s="4" t="s">
        <v>520</v>
      </c>
      <c r="E617" s="4" t="s">
        <v>520</v>
      </c>
      <c r="F617" s="4" t="s">
        <v>1550</v>
      </c>
      <c r="G617" s="4"/>
      <c r="H617" s="4"/>
    </row>
    <row r="618" spans="1:8">
      <c r="A618" s="4">
        <v>157</v>
      </c>
      <c r="B618" s="4" t="s">
        <v>518</v>
      </c>
      <c r="C618" s="4" t="s">
        <v>1936</v>
      </c>
      <c r="D618" s="4" t="s">
        <v>183</v>
      </c>
      <c r="E618" s="4" t="s">
        <v>191</v>
      </c>
      <c r="F618" s="4" t="s">
        <v>1354</v>
      </c>
      <c r="G618" s="4"/>
      <c r="H618" s="4"/>
    </row>
    <row r="619" spans="1:8" ht="27.6">
      <c r="A619" s="4">
        <v>158</v>
      </c>
      <c r="B619" s="4" t="s">
        <v>521</v>
      </c>
      <c r="C619" s="4" t="s">
        <v>1925</v>
      </c>
      <c r="D619" s="4" t="s">
        <v>522</v>
      </c>
      <c r="E619" s="4" t="s">
        <v>2570</v>
      </c>
      <c r="F619" s="4" t="s">
        <v>1551</v>
      </c>
      <c r="G619" s="4" t="s">
        <v>524</v>
      </c>
      <c r="H619" s="4" t="s">
        <v>1927</v>
      </c>
    </row>
    <row r="620" spans="1:8">
      <c r="A620" s="4">
        <v>158</v>
      </c>
      <c r="B620" s="4" t="s">
        <v>521</v>
      </c>
      <c r="C620" s="4" t="s">
        <v>1925</v>
      </c>
      <c r="D620" s="4" t="s">
        <v>522</v>
      </c>
      <c r="E620" s="4" t="s">
        <v>2571</v>
      </c>
      <c r="F620" s="4" t="s">
        <v>2572</v>
      </c>
      <c r="G620" s="4"/>
      <c r="H620" s="4"/>
    </row>
    <row r="621" spans="1:8">
      <c r="A621" s="4">
        <v>158</v>
      </c>
      <c r="B621" s="4" t="s">
        <v>521</v>
      </c>
      <c r="C621" s="4" t="s">
        <v>1925</v>
      </c>
      <c r="D621" s="4" t="s">
        <v>522</v>
      </c>
      <c r="E621" s="4" t="s">
        <v>2573</v>
      </c>
      <c r="F621" s="4" t="s">
        <v>2574</v>
      </c>
      <c r="G621" s="4"/>
      <c r="H621" s="4"/>
    </row>
    <row r="622" spans="1:8">
      <c r="A622" s="4">
        <v>158</v>
      </c>
      <c r="B622" s="4" t="s">
        <v>521</v>
      </c>
      <c r="C622" s="4" t="s">
        <v>1930</v>
      </c>
      <c r="D622" s="4" t="s">
        <v>523</v>
      </c>
      <c r="E622" s="4" t="s">
        <v>885</v>
      </c>
      <c r="F622" s="4" t="s">
        <v>1552</v>
      </c>
      <c r="G622" s="4"/>
      <c r="H622" s="4"/>
    </row>
    <row r="623" spans="1:8" ht="27.6">
      <c r="A623" s="4">
        <v>159</v>
      </c>
      <c r="B623" s="4" t="s">
        <v>526</v>
      </c>
      <c r="C623" s="4" t="s">
        <v>1925</v>
      </c>
      <c r="D623" s="4" t="s">
        <v>527</v>
      </c>
      <c r="E623" s="4" t="s">
        <v>2575</v>
      </c>
      <c r="F623" s="4" t="s">
        <v>1553</v>
      </c>
      <c r="G623" s="4" t="s">
        <v>414</v>
      </c>
      <c r="H623" s="4" t="s">
        <v>1927</v>
      </c>
    </row>
    <row r="624" spans="1:8">
      <c r="A624" s="4">
        <v>159</v>
      </c>
      <c r="B624" s="4" t="s">
        <v>526</v>
      </c>
      <c r="C624" s="4" t="s">
        <v>1925</v>
      </c>
      <c r="D624" s="4" t="s">
        <v>527</v>
      </c>
      <c r="E624" s="4" t="s">
        <v>2576</v>
      </c>
      <c r="F624" s="4" t="s">
        <v>2577</v>
      </c>
      <c r="G624" s="4"/>
      <c r="H624" s="4"/>
    </row>
    <row r="625" spans="1:8">
      <c r="A625" s="4">
        <v>159</v>
      </c>
      <c r="B625" s="4" t="s">
        <v>526</v>
      </c>
      <c r="C625" s="4" t="s">
        <v>1930</v>
      </c>
      <c r="D625" s="4" t="s">
        <v>528</v>
      </c>
      <c r="E625" s="4" t="s">
        <v>528</v>
      </c>
      <c r="F625" s="4" t="s">
        <v>1554</v>
      </c>
      <c r="G625" s="4"/>
      <c r="H625" s="4"/>
    </row>
    <row r="626" spans="1:8" ht="27.6">
      <c r="A626" s="4">
        <v>160</v>
      </c>
      <c r="B626" s="4" t="s">
        <v>529</v>
      </c>
      <c r="C626" s="4" t="s">
        <v>1925</v>
      </c>
      <c r="D626" s="4" t="s">
        <v>530</v>
      </c>
      <c r="E626" s="4" t="s">
        <v>2578</v>
      </c>
      <c r="F626" s="4" t="s">
        <v>1555</v>
      </c>
      <c r="G626" s="4" t="s">
        <v>414</v>
      </c>
      <c r="H626" s="4" t="s">
        <v>1927</v>
      </c>
    </row>
    <row r="627" spans="1:8">
      <c r="A627" s="4">
        <v>160</v>
      </c>
      <c r="B627" s="4" t="s">
        <v>529</v>
      </c>
      <c r="C627" s="4" t="s">
        <v>1925</v>
      </c>
      <c r="D627" s="4" t="s">
        <v>530</v>
      </c>
      <c r="E627" s="4" t="s">
        <v>2579</v>
      </c>
      <c r="F627" s="4" t="s">
        <v>2580</v>
      </c>
      <c r="G627" s="4"/>
      <c r="H627" s="4"/>
    </row>
    <row r="628" spans="1:8">
      <c r="A628" s="4">
        <v>160</v>
      </c>
      <c r="B628" s="4" t="s">
        <v>529</v>
      </c>
      <c r="C628" s="4" t="s">
        <v>1925</v>
      </c>
      <c r="D628" s="4" t="s">
        <v>530</v>
      </c>
      <c r="E628" s="4" t="s">
        <v>2581</v>
      </c>
      <c r="F628" s="4" t="s">
        <v>2582</v>
      </c>
      <c r="G628" s="4"/>
      <c r="H628" s="4"/>
    </row>
    <row r="629" spans="1:8">
      <c r="A629" s="4">
        <v>160</v>
      </c>
      <c r="B629" s="4" t="s">
        <v>529</v>
      </c>
      <c r="C629" s="4" t="s">
        <v>1930</v>
      </c>
      <c r="D629" s="4" t="s">
        <v>487</v>
      </c>
      <c r="E629" s="4" t="s">
        <v>493</v>
      </c>
      <c r="F629" s="4" t="s">
        <v>1532</v>
      </c>
      <c r="G629" s="4"/>
      <c r="H629" s="4"/>
    </row>
    <row r="630" spans="1:8" ht="27.6">
      <c r="A630" s="4">
        <v>161</v>
      </c>
      <c r="B630" s="4" t="s">
        <v>531</v>
      </c>
      <c r="C630" s="4" t="s">
        <v>1925</v>
      </c>
      <c r="D630" s="4" t="s">
        <v>532</v>
      </c>
      <c r="E630" s="4" t="s">
        <v>2583</v>
      </c>
      <c r="F630" s="4" t="s">
        <v>1556</v>
      </c>
      <c r="G630" s="4" t="s">
        <v>414</v>
      </c>
      <c r="H630" s="4" t="s">
        <v>1927</v>
      </c>
    </row>
    <row r="631" spans="1:8">
      <c r="A631" s="4">
        <v>161</v>
      </c>
      <c r="B631" s="4" t="s">
        <v>531</v>
      </c>
      <c r="C631" s="4" t="s">
        <v>1925</v>
      </c>
      <c r="D631" s="4" t="s">
        <v>532</v>
      </c>
      <c r="E631" s="4" t="s">
        <v>2584</v>
      </c>
      <c r="F631" s="4" t="s">
        <v>2585</v>
      </c>
      <c r="G631" s="4"/>
      <c r="H631" s="4"/>
    </row>
    <row r="632" spans="1:8">
      <c r="A632" s="4">
        <v>161</v>
      </c>
      <c r="B632" s="4" t="s">
        <v>531</v>
      </c>
      <c r="C632" s="4" t="s">
        <v>1930</v>
      </c>
      <c r="D632" s="4" t="s">
        <v>487</v>
      </c>
      <c r="E632" s="4" t="s">
        <v>493</v>
      </c>
      <c r="F632" s="4" t="s">
        <v>1532</v>
      </c>
      <c r="G632" s="4"/>
      <c r="H632" s="4"/>
    </row>
    <row r="633" spans="1:8" ht="27.6">
      <c r="A633" s="4">
        <v>162</v>
      </c>
      <c r="B633" s="4" t="s">
        <v>533</v>
      </c>
      <c r="C633" s="4" t="s">
        <v>1925</v>
      </c>
      <c r="D633" s="4" t="s">
        <v>534</v>
      </c>
      <c r="E633" s="4" t="s">
        <v>2586</v>
      </c>
      <c r="F633" s="4" t="s">
        <v>1557</v>
      </c>
      <c r="G633" s="4" t="s">
        <v>524</v>
      </c>
      <c r="H633" s="4" t="s">
        <v>1927</v>
      </c>
    </row>
    <row r="634" spans="1:8">
      <c r="A634" s="4">
        <v>162</v>
      </c>
      <c r="B634" s="4" t="s">
        <v>533</v>
      </c>
      <c r="C634" s="4" t="s">
        <v>1925</v>
      </c>
      <c r="D634" s="4" t="s">
        <v>534</v>
      </c>
      <c r="E634" s="4" t="s">
        <v>2587</v>
      </c>
      <c r="F634" s="4" t="s">
        <v>2588</v>
      </c>
      <c r="G634" s="4"/>
      <c r="H634" s="4"/>
    </row>
    <row r="635" spans="1:8">
      <c r="A635" s="4">
        <v>162</v>
      </c>
      <c r="B635" s="4" t="s">
        <v>533</v>
      </c>
      <c r="C635" s="4" t="s">
        <v>1925</v>
      </c>
      <c r="D635" s="4" t="s">
        <v>534</v>
      </c>
      <c r="E635" s="4" t="s">
        <v>2589</v>
      </c>
      <c r="F635" s="4" t="s">
        <v>2590</v>
      </c>
      <c r="G635" s="4"/>
      <c r="H635" s="4"/>
    </row>
    <row r="636" spans="1:8">
      <c r="A636" s="4">
        <v>162</v>
      </c>
      <c r="B636" s="4" t="s">
        <v>533</v>
      </c>
      <c r="C636" s="4" t="s">
        <v>1930</v>
      </c>
      <c r="D636" s="4" t="s">
        <v>535</v>
      </c>
      <c r="E636" s="4" t="s">
        <v>535</v>
      </c>
      <c r="F636" s="4" t="s">
        <v>1558</v>
      </c>
      <c r="G636" s="4"/>
      <c r="H636" s="4"/>
    </row>
    <row r="637" spans="1:8">
      <c r="A637" s="4">
        <v>162</v>
      </c>
      <c r="B637" s="4" t="s">
        <v>533</v>
      </c>
      <c r="C637" s="4" t="s">
        <v>1936</v>
      </c>
      <c r="D637" s="4" t="s">
        <v>523</v>
      </c>
      <c r="E637" s="4" t="s">
        <v>885</v>
      </c>
      <c r="F637" s="4" t="s">
        <v>1552</v>
      </c>
      <c r="G637" s="4"/>
      <c r="H637" s="4"/>
    </row>
    <row r="638" spans="1:8" ht="27.6">
      <c r="A638" s="4">
        <v>163</v>
      </c>
      <c r="B638" s="4" t="s">
        <v>536</v>
      </c>
      <c r="C638" s="4" t="s">
        <v>1925</v>
      </c>
      <c r="D638" s="4" t="s">
        <v>537</v>
      </c>
      <c r="E638" s="4" t="s">
        <v>2591</v>
      </c>
      <c r="F638" s="4" t="s">
        <v>2592</v>
      </c>
      <c r="G638" s="4" t="s">
        <v>524</v>
      </c>
      <c r="H638" s="4" t="s">
        <v>1927</v>
      </c>
    </row>
    <row r="639" spans="1:8">
      <c r="A639" s="4">
        <v>163</v>
      </c>
      <c r="B639" s="4" t="s">
        <v>536</v>
      </c>
      <c r="C639" s="4" t="s">
        <v>1925</v>
      </c>
      <c r="D639" s="4" t="s">
        <v>537</v>
      </c>
      <c r="E639" s="4" t="s">
        <v>2593</v>
      </c>
      <c r="F639" s="4" t="s">
        <v>1559</v>
      </c>
      <c r="G639" s="4"/>
      <c r="H639" s="4"/>
    </row>
    <row r="640" spans="1:8">
      <c r="A640" s="4">
        <v>163</v>
      </c>
      <c r="B640" s="4" t="s">
        <v>536</v>
      </c>
      <c r="C640" s="4" t="s">
        <v>1930</v>
      </c>
      <c r="D640" s="4" t="s">
        <v>538</v>
      </c>
      <c r="E640" s="4" t="s">
        <v>538</v>
      </c>
      <c r="F640" s="4" t="s">
        <v>1304</v>
      </c>
      <c r="G640" s="4"/>
      <c r="H640" s="4"/>
    </row>
    <row r="641" spans="1:8">
      <c r="A641" s="4">
        <v>163</v>
      </c>
      <c r="B641" s="4" t="s">
        <v>536</v>
      </c>
      <c r="C641" s="4" t="s">
        <v>1936</v>
      </c>
      <c r="D641" s="4" t="s">
        <v>523</v>
      </c>
      <c r="E641" s="4" t="s">
        <v>885</v>
      </c>
      <c r="F641" s="4" t="s">
        <v>1552</v>
      </c>
      <c r="G641" s="4"/>
      <c r="H641" s="4"/>
    </row>
    <row r="642" spans="1:8" ht="27.6">
      <c r="A642" s="4">
        <v>164</v>
      </c>
      <c r="B642" s="4" t="s">
        <v>539</v>
      </c>
      <c r="C642" s="4" t="s">
        <v>1925</v>
      </c>
      <c r="D642" s="4" t="s">
        <v>540</v>
      </c>
      <c r="E642" s="4" t="s">
        <v>2594</v>
      </c>
      <c r="F642" s="4" t="s">
        <v>1560</v>
      </c>
      <c r="G642" s="4" t="s">
        <v>524</v>
      </c>
      <c r="H642" s="4" t="s">
        <v>1927</v>
      </c>
    </row>
    <row r="643" spans="1:8">
      <c r="A643" s="4">
        <v>164</v>
      </c>
      <c r="B643" s="4" t="s">
        <v>539</v>
      </c>
      <c r="C643" s="4" t="s">
        <v>1925</v>
      </c>
      <c r="D643" s="4" t="s">
        <v>540</v>
      </c>
      <c r="E643" s="4" t="s">
        <v>2595</v>
      </c>
      <c r="F643" s="4" t="s">
        <v>2596</v>
      </c>
      <c r="G643" s="4"/>
      <c r="H643" s="4"/>
    </row>
    <row r="644" spans="1:8">
      <c r="A644" s="4">
        <v>164</v>
      </c>
      <c r="B644" s="4" t="s">
        <v>539</v>
      </c>
      <c r="C644" s="4" t="s">
        <v>1925</v>
      </c>
      <c r="D644" s="4" t="s">
        <v>540</v>
      </c>
      <c r="E644" s="4" t="s">
        <v>2597</v>
      </c>
      <c r="F644" s="4" t="s">
        <v>2598</v>
      </c>
      <c r="G644" s="4"/>
      <c r="H644" s="4"/>
    </row>
    <row r="645" spans="1:8">
      <c r="A645" s="4">
        <v>164</v>
      </c>
      <c r="B645" s="4" t="s">
        <v>539</v>
      </c>
      <c r="C645" s="4" t="s">
        <v>1930</v>
      </c>
      <c r="D645" s="4" t="s">
        <v>523</v>
      </c>
      <c r="E645" s="4" t="s">
        <v>885</v>
      </c>
      <c r="F645" s="4" t="s">
        <v>1552</v>
      </c>
      <c r="G645" s="4"/>
      <c r="H645" s="4"/>
    </row>
    <row r="646" spans="1:8" ht="27.6">
      <c r="A646" s="4">
        <v>165</v>
      </c>
      <c r="B646" s="4" t="s">
        <v>541</v>
      </c>
      <c r="C646" s="4" t="s">
        <v>1925</v>
      </c>
      <c r="D646" s="4" t="s">
        <v>542</v>
      </c>
      <c r="E646" s="4" t="s">
        <v>2599</v>
      </c>
      <c r="F646" s="4" t="s">
        <v>1561</v>
      </c>
      <c r="G646" s="4" t="s">
        <v>524</v>
      </c>
      <c r="H646" s="4" t="s">
        <v>1927</v>
      </c>
    </row>
    <row r="647" spans="1:8">
      <c r="A647" s="4">
        <v>165</v>
      </c>
      <c r="B647" s="4" t="s">
        <v>541</v>
      </c>
      <c r="C647" s="4" t="s">
        <v>1925</v>
      </c>
      <c r="D647" s="4" t="s">
        <v>542</v>
      </c>
      <c r="E647" s="4" t="s">
        <v>2600</v>
      </c>
      <c r="F647" s="4" t="s">
        <v>2601</v>
      </c>
      <c r="G647" s="4"/>
      <c r="H647" s="4"/>
    </row>
    <row r="648" spans="1:8">
      <c r="A648" s="4">
        <v>165</v>
      </c>
      <c r="B648" s="4" t="s">
        <v>541</v>
      </c>
      <c r="C648" s="4" t="s">
        <v>1930</v>
      </c>
      <c r="D648" s="4" t="s">
        <v>543</v>
      </c>
      <c r="E648" s="4" t="s">
        <v>543</v>
      </c>
      <c r="F648" s="4" t="s">
        <v>1562</v>
      </c>
      <c r="G648" s="4"/>
      <c r="H648" s="4"/>
    </row>
    <row r="649" spans="1:8">
      <c r="A649" s="4">
        <v>165</v>
      </c>
      <c r="B649" s="4" t="s">
        <v>541</v>
      </c>
      <c r="C649" s="4" t="s">
        <v>1936</v>
      </c>
      <c r="D649" s="4" t="s">
        <v>523</v>
      </c>
      <c r="E649" s="4" t="s">
        <v>885</v>
      </c>
      <c r="F649" s="4" t="s">
        <v>1552</v>
      </c>
      <c r="G649" s="4"/>
      <c r="H649" s="4"/>
    </row>
    <row r="650" spans="1:8" ht="27.6">
      <c r="A650" s="4">
        <v>166</v>
      </c>
      <c r="B650" s="4" t="s">
        <v>544</v>
      </c>
      <c r="C650" s="4" t="s">
        <v>1925</v>
      </c>
      <c r="D650" s="4" t="s">
        <v>545</v>
      </c>
      <c r="E650" s="4" t="s">
        <v>2602</v>
      </c>
      <c r="F650" s="4" t="s">
        <v>1563</v>
      </c>
      <c r="G650" s="4" t="s">
        <v>34</v>
      </c>
      <c r="H650" s="4" t="s">
        <v>1927</v>
      </c>
    </row>
    <row r="651" spans="1:8">
      <c r="A651" s="4">
        <v>166</v>
      </c>
      <c r="B651" s="4" t="s">
        <v>544</v>
      </c>
      <c r="C651" s="4" t="s">
        <v>1925</v>
      </c>
      <c r="D651" s="4" t="s">
        <v>545</v>
      </c>
      <c r="E651" s="4" t="s">
        <v>2603</v>
      </c>
      <c r="F651" s="4" t="s">
        <v>2604</v>
      </c>
      <c r="G651" s="4"/>
      <c r="H651" s="4"/>
    </row>
    <row r="652" spans="1:8">
      <c r="A652" s="4">
        <v>166</v>
      </c>
      <c r="B652" s="4" t="s">
        <v>544</v>
      </c>
      <c r="C652" s="4" t="s">
        <v>1925</v>
      </c>
      <c r="D652" s="4" t="s">
        <v>545</v>
      </c>
      <c r="E652" s="4" t="s">
        <v>2605</v>
      </c>
      <c r="F652" s="4" t="s">
        <v>2606</v>
      </c>
      <c r="G652" s="4"/>
      <c r="H652" s="4"/>
    </row>
    <row r="653" spans="1:8">
      <c r="A653" s="4">
        <v>166</v>
      </c>
      <c r="B653" s="4" t="s">
        <v>544</v>
      </c>
      <c r="C653" s="4" t="s">
        <v>1930</v>
      </c>
      <c r="D653" s="4" t="s">
        <v>546</v>
      </c>
      <c r="E653" s="4" t="s">
        <v>546</v>
      </c>
      <c r="F653" s="4" t="s">
        <v>1564</v>
      </c>
      <c r="G653" s="4"/>
      <c r="H653" s="4"/>
    </row>
    <row r="654" spans="1:8">
      <c r="A654" s="4">
        <v>166</v>
      </c>
      <c r="B654" s="4" t="s">
        <v>544</v>
      </c>
      <c r="C654" s="4" t="s">
        <v>1936</v>
      </c>
      <c r="D654" s="4" t="s">
        <v>33</v>
      </c>
      <c r="E654" s="4" t="s">
        <v>170</v>
      </c>
      <c r="F654" s="4" t="s">
        <v>1275</v>
      </c>
      <c r="G654" s="4"/>
      <c r="H654" s="4"/>
    </row>
    <row r="655" spans="1:8" ht="27.6">
      <c r="A655" s="4">
        <v>167</v>
      </c>
      <c r="B655" s="4" t="s">
        <v>547</v>
      </c>
      <c r="C655" s="4" t="s">
        <v>1925</v>
      </c>
      <c r="D655" s="4" t="s">
        <v>548</v>
      </c>
      <c r="E655" s="4" t="s">
        <v>2607</v>
      </c>
      <c r="F655" s="4" t="s">
        <v>1565</v>
      </c>
      <c r="G655" s="4" t="s">
        <v>34</v>
      </c>
      <c r="H655" s="4" t="s">
        <v>1927</v>
      </c>
    </row>
    <row r="656" spans="1:8">
      <c r="A656" s="4">
        <v>167</v>
      </c>
      <c r="B656" s="4" t="s">
        <v>547</v>
      </c>
      <c r="C656" s="4" t="s">
        <v>1925</v>
      </c>
      <c r="D656" s="4" t="s">
        <v>548</v>
      </c>
      <c r="E656" s="4" t="s">
        <v>2608</v>
      </c>
      <c r="F656" s="4" t="s">
        <v>2609</v>
      </c>
      <c r="G656" s="4"/>
      <c r="H656" s="4"/>
    </row>
    <row r="657" spans="1:8">
      <c r="A657" s="4">
        <v>167</v>
      </c>
      <c r="B657" s="4" t="s">
        <v>547</v>
      </c>
      <c r="C657" s="4" t="s">
        <v>1925</v>
      </c>
      <c r="D657" s="4" t="s">
        <v>548</v>
      </c>
      <c r="E657" s="4" t="s">
        <v>2610</v>
      </c>
      <c r="F657" s="4" t="s">
        <v>2611</v>
      </c>
      <c r="G657" s="4"/>
      <c r="H657" s="4"/>
    </row>
    <row r="658" spans="1:8">
      <c r="A658" s="4">
        <v>167</v>
      </c>
      <c r="B658" s="4" t="s">
        <v>547</v>
      </c>
      <c r="C658" s="4" t="s">
        <v>1930</v>
      </c>
      <c r="D658" s="4" t="s">
        <v>549</v>
      </c>
      <c r="E658" s="4" t="s">
        <v>549</v>
      </c>
      <c r="F658" s="4" t="s">
        <v>1566</v>
      </c>
      <c r="G658" s="4"/>
      <c r="H658" s="4"/>
    </row>
    <row r="659" spans="1:8" ht="27.6">
      <c r="A659" s="4">
        <v>168</v>
      </c>
      <c r="B659" s="4" t="s">
        <v>550</v>
      </c>
      <c r="C659" s="4" t="s">
        <v>1925</v>
      </c>
      <c r="D659" s="4" t="s">
        <v>551</v>
      </c>
      <c r="E659" s="4" t="s">
        <v>2612</v>
      </c>
      <c r="F659" s="4" t="s">
        <v>1567</v>
      </c>
      <c r="G659" s="4" t="s">
        <v>166</v>
      </c>
      <c r="H659" s="4" t="s">
        <v>1927</v>
      </c>
    </row>
    <row r="660" spans="1:8">
      <c r="A660" s="4">
        <v>168</v>
      </c>
      <c r="B660" s="4" t="s">
        <v>550</v>
      </c>
      <c r="C660" s="4" t="s">
        <v>1925</v>
      </c>
      <c r="D660" s="4" t="s">
        <v>551</v>
      </c>
      <c r="E660" s="4" t="s">
        <v>2613</v>
      </c>
      <c r="F660" s="4" t="s">
        <v>2614</v>
      </c>
      <c r="G660" s="4"/>
      <c r="H660" s="4"/>
    </row>
    <row r="661" spans="1:8">
      <c r="A661" s="4">
        <v>168</v>
      </c>
      <c r="B661" s="4" t="s">
        <v>550</v>
      </c>
      <c r="C661" s="4" t="s">
        <v>1930</v>
      </c>
      <c r="D661" s="4" t="s">
        <v>552</v>
      </c>
      <c r="E661" s="4" t="s">
        <v>552</v>
      </c>
      <c r="F661" s="4" t="s">
        <v>1568</v>
      </c>
      <c r="G661" s="4"/>
      <c r="H661" s="4"/>
    </row>
    <row r="662" spans="1:8">
      <c r="A662" s="4">
        <v>168</v>
      </c>
      <c r="B662" s="4" t="s">
        <v>550</v>
      </c>
      <c r="C662" s="4" t="s">
        <v>1936</v>
      </c>
      <c r="D662" s="4" t="s">
        <v>165</v>
      </c>
      <c r="E662" s="4" t="s">
        <v>962</v>
      </c>
      <c r="F662" s="4" t="s">
        <v>1344</v>
      </c>
      <c r="G662" s="4"/>
      <c r="H662" s="4"/>
    </row>
    <row r="663" spans="1:8" ht="27.6">
      <c r="A663" s="4">
        <v>169</v>
      </c>
      <c r="B663" s="4" t="s">
        <v>553</v>
      </c>
      <c r="C663" s="4" t="s">
        <v>1925</v>
      </c>
      <c r="D663" s="4" t="s">
        <v>554</v>
      </c>
      <c r="E663" s="4" t="s">
        <v>2615</v>
      </c>
      <c r="F663" s="4" t="s">
        <v>1569</v>
      </c>
      <c r="G663" s="4" t="s">
        <v>557</v>
      </c>
      <c r="H663" s="4" t="s">
        <v>1927</v>
      </c>
    </row>
    <row r="664" spans="1:8">
      <c r="A664" s="4">
        <v>169</v>
      </c>
      <c r="B664" s="4" t="s">
        <v>553</v>
      </c>
      <c r="C664" s="4" t="s">
        <v>1925</v>
      </c>
      <c r="D664" s="4" t="s">
        <v>554</v>
      </c>
      <c r="E664" s="4" t="s">
        <v>2616</v>
      </c>
      <c r="F664" s="4" t="s">
        <v>2617</v>
      </c>
      <c r="G664" s="4"/>
      <c r="H664" s="4"/>
    </row>
    <row r="665" spans="1:8">
      <c r="A665" s="4">
        <v>169</v>
      </c>
      <c r="B665" s="4" t="s">
        <v>553</v>
      </c>
      <c r="C665" s="4" t="s">
        <v>1925</v>
      </c>
      <c r="D665" s="4" t="s">
        <v>554</v>
      </c>
      <c r="E665" s="4" t="s">
        <v>2618</v>
      </c>
      <c r="F665" s="4" t="s">
        <v>2619</v>
      </c>
      <c r="G665" s="4"/>
      <c r="H665" s="4"/>
    </row>
    <row r="666" spans="1:8">
      <c r="A666" s="4">
        <v>169</v>
      </c>
      <c r="B666" s="4" t="s">
        <v>553</v>
      </c>
      <c r="C666" s="4" t="s">
        <v>1930</v>
      </c>
      <c r="D666" s="4" t="s">
        <v>555</v>
      </c>
      <c r="E666" s="4" t="s">
        <v>555</v>
      </c>
      <c r="F666" s="4" t="s">
        <v>1570</v>
      </c>
      <c r="G666" s="4"/>
      <c r="H666" s="4"/>
    </row>
    <row r="667" spans="1:8">
      <c r="A667" s="4">
        <v>169</v>
      </c>
      <c r="B667" s="4" t="s">
        <v>553</v>
      </c>
      <c r="C667" s="4" t="s">
        <v>1936</v>
      </c>
      <c r="D667" s="4" t="s">
        <v>556</v>
      </c>
      <c r="E667" s="4" t="s">
        <v>611</v>
      </c>
      <c r="F667" s="4" t="s">
        <v>1571</v>
      </c>
      <c r="G667" s="4"/>
      <c r="H667" s="4"/>
    </row>
    <row r="668" spans="1:8" ht="27.6">
      <c r="A668" s="4">
        <v>170</v>
      </c>
      <c r="B668" s="4" t="s">
        <v>559</v>
      </c>
      <c r="C668" s="4" t="s">
        <v>1925</v>
      </c>
      <c r="D668" s="4" t="s">
        <v>560</v>
      </c>
      <c r="E668" s="4" t="s">
        <v>2620</v>
      </c>
      <c r="F668" s="4" t="s">
        <v>1572</v>
      </c>
      <c r="G668" s="4" t="s">
        <v>557</v>
      </c>
      <c r="H668" s="4" t="s">
        <v>1927</v>
      </c>
    </row>
    <row r="669" spans="1:8">
      <c r="A669" s="4">
        <v>170</v>
      </c>
      <c r="B669" s="4" t="s">
        <v>559</v>
      </c>
      <c r="C669" s="4" t="s">
        <v>1925</v>
      </c>
      <c r="D669" s="4" t="s">
        <v>560</v>
      </c>
      <c r="E669" s="4" t="s">
        <v>2621</v>
      </c>
      <c r="F669" s="4" t="s">
        <v>2622</v>
      </c>
      <c r="G669" s="4"/>
      <c r="H669" s="4"/>
    </row>
    <row r="670" spans="1:8">
      <c r="A670" s="4">
        <v>170</v>
      </c>
      <c r="B670" s="4" t="s">
        <v>559</v>
      </c>
      <c r="C670" s="4" t="s">
        <v>1930</v>
      </c>
      <c r="D670" s="4" t="s">
        <v>561</v>
      </c>
      <c r="E670" s="4" t="s">
        <v>561</v>
      </c>
      <c r="F670" s="4" t="s">
        <v>1573</v>
      </c>
      <c r="G670" s="4"/>
      <c r="H670" s="4"/>
    </row>
    <row r="671" spans="1:8">
      <c r="A671" s="4">
        <v>170</v>
      </c>
      <c r="B671" s="4" t="s">
        <v>559</v>
      </c>
      <c r="C671" s="4" t="s">
        <v>1936</v>
      </c>
      <c r="D671" s="4" t="s">
        <v>556</v>
      </c>
      <c r="E671" s="4" t="s">
        <v>611</v>
      </c>
      <c r="F671" s="4" t="s">
        <v>1571</v>
      </c>
      <c r="G671" s="4"/>
      <c r="H671" s="4"/>
    </row>
    <row r="672" spans="1:8" ht="27.6">
      <c r="A672" s="4">
        <v>171</v>
      </c>
      <c r="B672" s="4" t="s">
        <v>562</v>
      </c>
      <c r="C672" s="4" t="s">
        <v>1925</v>
      </c>
      <c r="D672" s="4" t="s">
        <v>563</v>
      </c>
      <c r="E672" s="4" t="s">
        <v>2623</v>
      </c>
      <c r="F672" s="4" t="s">
        <v>1574</v>
      </c>
      <c r="G672" s="4" t="s">
        <v>557</v>
      </c>
      <c r="H672" s="4" t="s">
        <v>1927</v>
      </c>
    </row>
    <row r="673" spans="1:8">
      <c r="A673" s="4">
        <v>171</v>
      </c>
      <c r="B673" s="4" t="s">
        <v>562</v>
      </c>
      <c r="C673" s="4" t="s">
        <v>1925</v>
      </c>
      <c r="D673" s="4" t="s">
        <v>563</v>
      </c>
      <c r="E673" s="4" t="s">
        <v>2624</v>
      </c>
      <c r="F673" s="4" t="s">
        <v>2625</v>
      </c>
      <c r="G673" s="4"/>
      <c r="H673" s="4"/>
    </row>
    <row r="674" spans="1:8">
      <c r="A674" s="4">
        <v>171</v>
      </c>
      <c r="B674" s="4" t="s">
        <v>562</v>
      </c>
      <c r="C674" s="4" t="s">
        <v>1925</v>
      </c>
      <c r="D674" s="4" t="s">
        <v>563</v>
      </c>
      <c r="E674" s="4" t="s">
        <v>2626</v>
      </c>
      <c r="F674" s="4" t="s">
        <v>2627</v>
      </c>
      <c r="G674" s="4"/>
      <c r="H674" s="4"/>
    </row>
    <row r="675" spans="1:8">
      <c r="A675" s="4">
        <v>171</v>
      </c>
      <c r="B675" s="4" t="s">
        <v>562</v>
      </c>
      <c r="C675" s="4" t="s">
        <v>1930</v>
      </c>
      <c r="D675" s="4" t="s">
        <v>556</v>
      </c>
      <c r="E675" s="4" t="s">
        <v>611</v>
      </c>
      <c r="F675" s="4" t="s">
        <v>1571</v>
      </c>
      <c r="G675" s="4"/>
      <c r="H675" s="4"/>
    </row>
    <row r="676" spans="1:8" ht="27.6">
      <c r="A676" s="4">
        <v>172</v>
      </c>
      <c r="B676" s="4" t="s">
        <v>564</v>
      </c>
      <c r="C676" s="4" t="s">
        <v>1925</v>
      </c>
      <c r="D676" s="4" t="s">
        <v>565</v>
      </c>
      <c r="E676" s="4" t="s">
        <v>2628</v>
      </c>
      <c r="F676" s="4" t="s">
        <v>1575</v>
      </c>
      <c r="G676" s="4" t="s">
        <v>296</v>
      </c>
      <c r="H676" s="4" t="s">
        <v>1927</v>
      </c>
    </row>
    <row r="677" spans="1:8">
      <c r="A677" s="4">
        <v>172</v>
      </c>
      <c r="B677" s="4" t="s">
        <v>564</v>
      </c>
      <c r="C677" s="4" t="s">
        <v>1925</v>
      </c>
      <c r="D677" s="4" t="s">
        <v>565</v>
      </c>
      <c r="E677" s="4" t="s">
        <v>2629</v>
      </c>
      <c r="F677" s="4" t="s">
        <v>2630</v>
      </c>
      <c r="G677" s="4"/>
      <c r="H677" s="4"/>
    </row>
    <row r="678" spans="1:8">
      <c r="A678" s="4">
        <v>172</v>
      </c>
      <c r="B678" s="4" t="s">
        <v>564</v>
      </c>
      <c r="C678" s="4" t="s">
        <v>1930</v>
      </c>
      <c r="D678" s="4" t="s">
        <v>566</v>
      </c>
      <c r="E678" s="4" t="s">
        <v>566</v>
      </c>
      <c r="F678" s="4" t="s">
        <v>1576</v>
      </c>
      <c r="G678" s="4"/>
      <c r="H678" s="4"/>
    </row>
    <row r="679" spans="1:8">
      <c r="A679" s="4">
        <v>172</v>
      </c>
      <c r="B679" s="4" t="s">
        <v>564</v>
      </c>
      <c r="C679" s="4" t="s">
        <v>1936</v>
      </c>
      <c r="D679" s="4" t="s">
        <v>295</v>
      </c>
      <c r="E679" s="4" t="s">
        <v>464</v>
      </c>
      <c r="F679" s="4" t="s">
        <v>1415</v>
      </c>
      <c r="G679" s="4"/>
      <c r="H679" s="4"/>
    </row>
    <row r="680" spans="1:8" ht="27.6">
      <c r="A680" s="4">
        <v>173</v>
      </c>
      <c r="B680" s="4" t="s">
        <v>567</v>
      </c>
      <c r="C680" s="4" t="s">
        <v>1925</v>
      </c>
      <c r="D680" s="4" t="s">
        <v>568</v>
      </c>
      <c r="E680" s="4" t="s">
        <v>2631</v>
      </c>
      <c r="F680" s="4" t="s">
        <v>1577</v>
      </c>
      <c r="G680" s="4" t="s">
        <v>226</v>
      </c>
      <c r="H680" s="4" t="s">
        <v>1927</v>
      </c>
    </row>
    <row r="681" spans="1:8">
      <c r="A681" s="4">
        <v>173</v>
      </c>
      <c r="B681" s="4" t="s">
        <v>567</v>
      </c>
      <c r="C681" s="4" t="s">
        <v>1925</v>
      </c>
      <c r="D681" s="4" t="s">
        <v>568</v>
      </c>
      <c r="E681" s="4" t="s">
        <v>2632</v>
      </c>
      <c r="F681" s="4" t="s">
        <v>2633</v>
      </c>
      <c r="G681" s="4"/>
      <c r="H681" s="4"/>
    </row>
    <row r="682" spans="1:8">
      <c r="A682" s="4">
        <v>173</v>
      </c>
      <c r="B682" s="4" t="s">
        <v>567</v>
      </c>
      <c r="C682" s="4" t="s">
        <v>1925</v>
      </c>
      <c r="D682" s="4" t="s">
        <v>568</v>
      </c>
      <c r="E682" s="4" t="s">
        <v>2634</v>
      </c>
      <c r="F682" s="4" t="s">
        <v>2635</v>
      </c>
      <c r="G682" s="4"/>
      <c r="H682" s="4"/>
    </row>
    <row r="683" spans="1:8">
      <c r="A683" s="4">
        <v>173</v>
      </c>
      <c r="B683" s="4" t="s">
        <v>567</v>
      </c>
      <c r="C683" s="4" t="s">
        <v>1930</v>
      </c>
      <c r="D683" s="4" t="s">
        <v>569</v>
      </c>
      <c r="E683" s="4" t="s">
        <v>569</v>
      </c>
      <c r="F683" s="4" t="s">
        <v>1578</v>
      </c>
      <c r="G683" s="4"/>
      <c r="H683" s="4"/>
    </row>
    <row r="684" spans="1:8">
      <c r="A684" s="4">
        <v>173</v>
      </c>
      <c r="B684" s="4" t="s">
        <v>567</v>
      </c>
      <c r="C684" s="4" t="s">
        <v>1936</v>
      </c>
      <c r="D684" s="4" t="s">
        <v>267</v>
      </c>
      <c r="E684" s="4" t="s">
        <v>173</v>
      </c>
      <c r="F684" s="4" t="s">
        <v>1347</v>
      </c>
      <c r="G684" s="4"/>
      <c r="H684" s="4"/>
    </row>
    <row r="685" spans="1:8" ht="27.6">
      <c r="A685" s="4">
        <v>174</v>
      </c>
      <c r="B685" s="4" t="s">
        <v>570</v>
      </c>
      <c r="C685" s="4" t="s">
        <v>1925</v>
      </c>
      <c r="D685" s="4" t="s">
        <v>571</v>
      </c>
      <c r="E685" s="4" t="s">
        <v>2636</v>
      </c>
      <c r="F685" s="4" t="s">
        <v>1579</v>
      </c>
      <c r="G685" s="4" t="s">
        <v>226</v>
      </c>
      <c r="H685" s="4" t="s">
        <v>1927</v>
      </c>
    </row>
    <row r="686" spans="1:8">
      <c r="A686" s="4">
        <v>174</v>
      </c>
      <c r="B686" s="4" t="s">
        <v>570</v>
      </c>
      <c r="C686" s="4" t="s">
        <v>1925</v>
      </c>
      <c r="D686" s="4" t="s">
        <v>571</v>
      </c>
      <c r="E686" s="4" t="s">
        <v>2637</v>
      </c>
      <c r="F686" s="4" t="s">
        <v>2638</v>
      </c>
      <c r="G686" s="4"/>
      <c r="H686" s="4"/>
    </row>
    <row r="687" spans="1:8">
      <c r="A687" s="4">
        <v>174</v>
      </c>
      <c r="B687" s="4" t="s">
        <v>570</v>
      </c>
      <c r="C687" s="4" t="s">
        <v>1930</v>
      </c>
      <c r="D687" s="4" t="s">
        <v>572</v>
      </c>
      <c r="E687" s="4" t="s">
        <v>572</v>
      </c>
      <c r="F687" s="4" t="s">
        <v>1580</v>
      </c>
      <c r="G687" s="4"/>
      <c r="H687" s="4"/>
    </row>
    <row r="688" spans="1:8">
      <c r="A688" s="4">
        <v>174</v>
      </c>
      <c r="B688" s="4" t="s">
        <v>570</v>
      </c>
      <c r="C688" s="4" t="s">
        <v>1936</v>
      </c>
      <c r="D688" s="4" t="s">
        <v>267</v>
      </c>
      <c r="E688" s="4" t="s">
        <v>173</v>
      </c>
      <c r="F688" s="4" t="s">
        <v>1347</v>
      </c>
      <c r="G688" s="4"/>
      <c r="H688" s="4"/>
    </row>
    <row r="689" spans="1:8" ht="27.6">
      <c r="A689" s="4">
        <v>175</v>
      </c>
      <c r="B689" s="4" t="s">
        <v>573</v>
      </c>
      <c r="C689" s="4" t="s">
        <v>1925</v>
      </c>
      <c r="D689" s="4" t="s">
        <v>574</v>
      </c>
      <c r="E689" s="4" t="s">
        <v>2639</v>
      </c>
      <c r="F689" s="4" t="s">
        <v>1581</v>
      </c>
      <c r="G689" s="4" t="s">
        <v>226</v>
      </c>
      <c r="H689" s="4" t="s">
        <v>1927</v>
      </c>
    </row>
    <row r="690" spans="1:8">
      <c r="A690" s="4">
        <v>175</v>
      </c>
      <c r="B690" s="4" t="s">
        <v>573</v>
      </c>
      <c r="C690" s="4" t="s">
        <v>1925</v>
      </c>
      <c r="D690" s="4" t="s">
        <v>574</v>
      </c>
      <c r="E690" s="4" t="s">
        <v>2640</v>
      </c>
      <c r="F690" s="4" t="s">
        <v>2641</v>
      </c>
      <c r="G690" s="4"/>
      <c r="H690" s="4"/>
    </row>
    <row r="691" spans="1:8">
      <c r="A691" s="4">
        <v>175</v>
      </c>
      <c r="B691" s="4" t="s">
        <v>573</v>
      </c>
      <c r="C691" s="4" t="s">
        <v>1925</v>
      </c>
      <c r="D691" s="4" t="s">
        <v>574</v>
      </c>
      <c r="E691" s="4" t="s">
        <v>2642</v>
      </c>
      <c r="F691" s="4" t="s">
        <v>2643</v>
      </c>
      <c r="G691" s="4"/>
      <c r="H691" s="4"/>
    </row>
    <row r="692" spans="1:8">
      <c r="A692" s="4">
        <v>175</v>
      </c>
      <c r="B692" s="4" t="s">
        <v>573</v>
      </c>
      <c r="C692" s="4" t="s">
        <v>1930</v>
      </c>
      <c r="D692" s="4" t="s">
        <v>267</v>
      </c>
      <c r="E692" s="4" t="s">
        <v>173</v>
      </c>
      <c r="F692" s="4" t="s">
        <v>1347</v>
      </c>
      <c r="G692" s="4"/>
      <c r="H692" s="4"/>
    </row>
    <row r="693" spans="1:8" ht="27.6">
      <c r="A693" s="4">
        <v>176</v>
      </c>
      <c r="B693" s="4" t="s">
        <v>575</v>
      </c>
      <c r="C693" s="4" t="s">
        <v>1925</v>
      </c>
      <c r="D693" s="4" t="s">
        <v>576</v>
      </c>
      <c r="E693" s="4" t="s">
        <v>2644</v>
      </c>
      <c r="F693" s="4" t="s">
        <v>1582</v>
      </c>
      <c r="G693" s="4" t="s">
        <v>226</v>
      </c>
      <c r="H693" s="4" t="s">
        <v>1927</v>
      </c>
    </row>
    <row r="694" spans="1:8">
      <c r="A694" s="4">
        <v>176</v>
      </c>
      <c r="B694" s="4" t="s">
        <v>575</v>
      </c>
      <c r="C694" s="4" t="s">
        <v>1925</v>
      </c>
      <c r="D694" s="4" t="s">
        <v>576</v>
      </c>
      <c r="E694" s="4" t="s">
        <v>2645</v>
      </c>
      <c r="F694" s="4" t="s">
        <v>2646</v>
      </c>
      <c r="G694" s="4"/>
      <c r="H694" s="4"/>
    </row>
    <row r="695" spans="1:8">
      <c r="A695" s="4">
        <v>176</v>
      </c>
      <c r="B695" s="4" t="s">
        <v>575</v>
      </c>
      <c r="C695" s="4" t="s">
        <v>1930</v>
      </c>
      <c r="D695" s="4" t="s">
        <v>267</v>
      </c>
      <c r="E695" s="4" t="s">
        <v>173</v>
      </c>
      <c r="F695" s="4" t="s">
        <v>1347</v>
      </c>
      <c r="G695" s="4"/>
      <c r="H695" s="4"/>
    </row>
    <row r="696" spans="1:8" ht="27.6">
      <c r="A696" s="4">
        <v>177</v>
      </c>
      <c r="B696" s="4" t="s">
        <v>577</v>
      </c>
      <c r="C696" s="4" t="s">
        <v>1925</v>
      </c>
      <c r="D696" s="4" t="s">
        <v>578</v>
      </c>
      <c r="E696" s="4" t="s">
        <v>2647</v>
      </c>
      <c r="F696" s="4" t="s">
        <v>1583</v>
      </c>
      <c r="G696" s="4" t="s">
        <v>226</v>
      </c>
      <c r="H696" s="4" t="s">
        <v>1927</v>
      </c>
    </row>
    <row r="697" spans="1:8">
      <c r="A697" s="4">
        <v>177</v>
      </c>
      <c r="B697" s="4" t="s">
        <v>577</v>
      </c>
      <c r="C697" s="4" t="s">
        <v>1925</v>
      </c>
      <c r="D697" s="4" t="s">
        <v>578</v>
      </c>
      <c r="E697" s="4" t="s">
        <v>2648</v>
      </c>
      <c r="F697" s="4" t="s">
        <v>2649</v>
      </c>
      <c r="G697" s="4"/>
      <c r="H697" s="4"/>
    </row>
    <row r="698" spans="1:8">
      <c r="A698" s="4">
        <v>177</v>
      </c>
      <c r="B698" s="4" t="s">
        <v>577</v>
      </c>
      <c r="C698" s="4" t="s">
        <v>1925</v>
      </c>
      <c r="D698" s="4" t="s">
        <v>578</v>
      </c>
      <c r="E698" s="4" t="s">
        <v>2650</v>
      </c>
      <c r="F698" s="4" t="s">
        <v>2651</v>
      </c>
      <c r="G698" s="4"/>
      <c r="H698" s="4"/>
    </row>
    <row r="699" spans="1:8">
      <c r="A699" s="4">
        <v>177</v>
      </c>
      <c r="B699" s="4" t="s">
        <v>577</v>
      </c>
      <c r="C699" s="4" t="s">
        <v>1930</v>
      </c>
      <c r="D699" s="4" t="s">
        <v>267</v>
      </c>
      <c r="E699" s="4" t="s">
        <v>173</v>
      </c>
      <c r="F699" s="4" t="s">
        <v>1347</v>
      </c>
      <c r="G699" s="4"/>
      <c r="H699" s="4"/>
    </row>
    <row r="700" spans="1:8" ht="27.6">
      <c r="A700" s="4">
        <v>178</v>
      </c>
      <c r="B700" s="4" t="s">
        <v>579</v>
      </c>
      <c r="C700" s="4" t="s">
        <v>1925</v>
      </c>
      <c r="D700" s="4" t="s">
        <v>580</v>
      </c>
      <c r="E700" s="4" t="s">
        <v>2652</v>
      </c>
      <c r="F700" s="4" t="s">
        <v>1584</v>
      </c>
      <c r="G700" s="4" t="s">
        <v>226</v>
      </c>
      <c r="H700" s="4" t="s">
        <v>1927</v>
      </c>
    </row>
    <row r="701" spans="1:8">
      <c r="A701" s="4">
        <v>178</v>
      </c>
      <c r="B701" s="4" t="s">
        <v>579</v>
      </c>
      <c r="C701" s="4" t="s">
        <v>1925</v>
      </c>
      <c r="D701" s="4" t="s">
        <v>580</v>
      </c>
      <c r="E701" s="4" t="s">
        <v>2653</v>
      </c>
      <c r="F701" s="4" t="s">
        <v>2654</v>
      </c>
      <c r="G701" s="4"/>
      <c r="H701" s="4"/>
    </row>
    <row r="702" spans="1:8">
      <c r="A702" s="4">
        <v>178</v>
      </c>
      <c r="B702" s="4" t="s">
        <v>579</v>
      </c>
      <c r="C702" s="4" t="s">
        <v>1925</v>
      </c>
      <c r="D702" s="4" t="s">
        <v>580</v>
      </c>
      <c r="E702" s="4" t="s">
        <v>2655</v>
      </c>
      <c r="F702" s="4" t="s">
        <v>2656</v>
      </c>
      <c r="G702" s="4"/>
      <c r="H702" s="4"/>
    </row>
    <row r="703" spans="1:8">
      <c r="A703" s="4">
        <v>178</v>
      </c>
      <c r="B703" s="4" t="s">
        <v>579</v>
      </c>
      <c r="C703" s="4" t="s">
        <v>1930</v>
      </c>
      <c r="D703" s="4" t="s">
        <v>581</v>
      </c>
      <c r="E703" s="4" t="s">
        <v>581</v>
      </c>
      <c r="F703" s="4" t="s">
        <v>1585</v>
      </c>
      <c r="G703" s="4"/>
      <c r="H703" s="4"/>
    </row>
    <row r="704" spans="1:8" ht="27.6">
      <c r="A704" s="4">
        <v>179</v>
      </c>
      <c r="B704" s="4" t="s">
        <v>582</v>
      </c>
      <c r="C704" s="4" t="s">
        <v>1925</v>
      </c>
      <c r="D704" s="4" t="s">
        <v>583</v>
      </c>
      <c r="E704" s="4" t="s">
        <v>2657</v>
      </c>
      <c r="F704" s="4" t="s">
        <v>1586</v>
      </c>
      <c r="G704" s="4" t="s">
        <v>226</v>
      </c>
      <c r="H704" s="4" t="s">
        <v>1927</v>
      </c>
    </row>
    <row r="705" spans="1:8">
      <c r="A705" s="4">
        <v>179</v>
      </c>
      <c r="B705" s="4" t="s">
        <v>582</v>
      </c>
      <c r="C705" s="4" t="s">
        <v>1925</v>
      </c>
      <c r="D705" s="4" t="s">
        <v>583</v>
      </c>
      <c r="E705" s="4" t="s">
        <v>2658</v>
      </c>
      <c r="F705" s="4" t="s">
        <v>2659</v>
      </c>
      <c r="G705" s="4"/>
      <c r="H705" s="4"/>
    </row>
    <row r="706" spans="1:8">
      <c r="A706" s="4">
        <v>179</v>
      </c>
      <c r="B706" s="4" t="s">
        <v>582</v>
      </c>
      <c r="C706" s="4" t="s">
        <v>1930</v>
      </c>
      <c r="D706" s="4" t="s">
        <v>584</v>
      </c>
      <c r="E706" s="4" t="s">
        <v>584</v>
      </c>
      <c r="F706" s="4" t="s">
        <v>1587</v>
      </c>
      <c r="G706" s="4"/>
      <c r="H706" s="4"/>
    </row>
    <row r="707" spans="1:8" ht="27.6">
      <c r="A707" s="4">
        <v>180</v>
      </c>
      <c r="B707" s="4" t="s">
        <v>585</v>
      </c>
      <c r="C707" s="4" t="s">
        <v>1925</v>
      </c>
      <c r="D707" s="4" t="s">
        <v>586</v>
      </c>
      <c r="E707" s="4" t="s">
        <v>2660</v>
      </c>
      <c r="F707" s="4" t="s">
        <v>1588</v>
      </c>
      <c r="G707" s="4" t="s">
        <v>226</v>
      </c>
      <c r="H707" s="4" t="s">
        <v>1927</v>
      </c>
    </row>
    <row r="708" spans="1:8">
      <c r="A708" s="4">
        <v>180</v>
      </c>
      <c r="B708" s="4" t="s">
        <v>585</v>
      </c>
      <c r="C708" s="4" t="s">
        <v>1925</v>
      </c>
      <c r="D708" s="4" t="s">
        <v>586</v>
      </c>
      <c r="E708" s="4" t="s">
        <v>2661</v>
      </c>
      <c r="F708" s="4" t="s">
        <v>2662</v>
      </c>
      <c r="G708" s="4"/>
      <c r="H708" s="4"/>
    </row>
    <row r="709" spans="1:8">
      <c r="A709" s="4">
        <v>180</v>
      </c>
      <c r="B709" s="4" t="s">
        <v>585</v>
      </c>
      <c r="C709" s="4" t="s">
        <v>1925</v>
      </c>
      <c r="D709" s="4" t="s">
        <v>586</v>
      </c>
      <c r="E709" s="4" t="s">
        <v>2663</v>
      </c>
      <c r="F709" s="4" t="s">
        <v>2664</v>
      </c>
      <c r="G709" s="4"/>
      <c r="H709" s="4"/>
    </row>
    <row r="710" spans="1:8">
      <c r="A710" s="4">
        <v>180</v>
      </c>
      <c r="B710" s="4" t="s">
        <v>585</v>
      </c>
      <c r="C710" s="4" t="s">
        <v>1930</v>
      </c>
      <c r="D710" s="4" t="s">
        <v>587</v>
      </c>
      <c r="E710" s="4" t="s">
        <v>587</v>
      </c>
      <c r="F710" s="4" t="s">
        <v>1589</v>
      </c>
      <c r="G710" s="4"/>
      <c r="H710" s="4"/>
    </row>
    <row r="711" spans="1:8">
      <c r="A711" s="4">
        <v>180</v>
      </c>
      <c r="B711" s="4" t="s">
        <v>585</v>
      </c>
      <c r="C711" s="4" t="s">
        <v>1936</v>
      </c>
      <c r="D711" s="4" t="s">
        <v>267</v>
      </c>
      <c r="E711" s="4" t="s">
        <v>173</v>
      </c>
      <c r="F711" s="4" t="s">
        <v>1347</v>
      </c>
      <c r="G711" s="4"/>
      <c r="H711" s="4"/>
    </row>
    <row r="712" spans="1:8" ht="27.6">
      <c r="A712" s="4">
        <v>181</v>
      </c>
      <c r="B712" s="4" t="s">
        <v>588</v>
      </c>
      <c r="C712" s="4" t="s">
        <v>1925</v>
      </c>
      <c r="D712" s="4" t="s">
        <v>589</v>
      </c>
      <c r="E712" s="4" t="s">
        <v>2665</v>
      </c>
      <c r="F712" s="4" t="s">
        <v>1590</v>
      </c>
      <c r="G712" s="4" t="s">
        <v>226</v>
      </c>
      <c r="H712" s="4" t="s">
        <v>1927</v>
      </c>
    </row>
    <row r="713" spans="1:8">
      <c r="A713" s="4">
        <v>181</v>
      </c>
      <c r="B713" s="4" t="s">
        <v>588</v>
      </c>
      <c r="C713" s="4" t="s">
        <v>1925</v>
      </c>
      <c r="D713" s="4" t="s">
        <v>589</v>
      </c>
      <c r="E713" s="4" t="s">
        <v>2666</v>
      </c>
      <c r="F713" s="4" t="s">
        <v>2667</v>
      </c>
      <c r="G713" s="4"/>
      <c r="H713" s="4"/>
    </row>
    <row r="714" spans="1:8">
      <c r="A714" s="4">
        <v>181</v>
      </c>
      <c r="B714" s="4" t="s">
        <v>588</v>
      </c>
      <c r="C714" s="4" t="s">
        <v>1930</v>
      </c>
      <c r="D714" s="4" t="s">
        <v>590</v>
      </c>
      <c r="E714" s="4" t="s">
        <v>590</v>
      </c>
      <c r="F714" s="4" t="s">
        <v>1591</v>
      </c>
      <c r="G714" s="4"/>
      <c r="H714" s="4"/>
    </row>
    <row r="715" spans="1:8">
      <c r="A715" s="4">
        <v>181</v>
      </c>
      <c r="B715" s="4" t="s">
        <v>588</v>
      </c>
      <c r="C715" s="4" t="s">
        <v>1936</v>
      </c>
      <c r="D715" s="4" t="s">
        <v>267</v>
      </c>
      <c r="E715" s="4" t="s">
        <v>173</v>
      </c>
      <c r="F715" s="4" t="s">
        <v>1347</v>
      </c>
      <c r="G715" s="4"/>
      <c r="H715" s="4"/>
    </row>
    <row r="716" spans="1:8" ht="27.6">
      <c r="A716" s="4">
        <v>182</v>
      </c>
      <c r="B716" s="4" t="s">
        <v>591</v>
      </c>
      <c r="C716" s="4" t="s">
        <v>1925</v>
      </c>
      <c r="D716" s="4" t="s">
        <v>592</v>
      </c>
      <c r="E716" s="4" t="s">
        <v>2668</v>
      </c>
      <c r="F716" s="4" t="s">
        <v>1592</v>
      </c>
      <c r="G716" s="4" t="s">
        <v>226</v>
      </c>
      <c r="H716" s="4" t="s">
        <v>1927</v>
      </c>
    </row>
    <row r="717" spans="1:8">
      <c r="A717" s="4">
        <v>182</v>
      </c>
      <c r="B717" s="4" t="s">
        <v>591</v>
      </c>
      <c r="C717" s="4" t="s">
        <v>1925</v>
      </c>
      <c r="D717" s="4" t="s">
        <v>592</v>
      </c>
      <c r="E717" s="4" t="s">
        <v>2669</v>
      </c>
      <c r="F717" s="4" t="s">
        <v>2670</v>
      </c>
      <c r="G717" s="4"/>
      <c r="H717" s="4"/>
    </row>
    <row r="718" spans="1:8">
      <c r="A718" s="4">
        <v>182</v>
      </c>
      <c r="B718" s="4" t="s">
        <v>591</v>
      </c>
      <c r="C718" s="4" t="s">
        <v>1925</v>
      </c>
      <c r="D718" s="4" t="s">
        <v>592</v>
      </c>
      <c r="E718" s="4" t="s">
        <v>2671</v>
      </c>
      <c r="F718" s="4" t="s">
        <v>2672</v>
      </c>
      <c r="G718" s="4"/>
      <c r="H718" s="4"/>
    </row>
    <row r="719" spans="1:8">
      <c r="A719" s="4">
        <v>182</v>
      </c>
      <c r="B719" s="4" t="s">
        <v>591</v>
      </c>
      <c r="C719" s="4" t="s">
        <v>1930</v>
      </c>
      <c r="D719" s="4" t="s">
        <v>593</v>
      </c>
      <c r="E719" s="4" t="s">
        <v>593</v>
      </c>
      <c r="F719" s="4" t="s">
        <v>1593</v>
      </c>
      <c r="G719" s="4"/>
      <c r="H719" s="4"/>
    </row>
    <row r="720" spans="1:8">
      <c r="A720" s="4">
        <v>182</v>
      </c>
      <c r="B720" s="4" t="s">
        <v>591</v>
      </c>
      <c r="C720" s="4" t="s">
        <v>1936</v>
      </c>
      <c r="D720" s="4" t="s">
        <v>267</v>
      </c>
      <c r="E720" s="4" t="s">
        <v>173</v>
      </c>
      <c r="F720" s="4" t="s">
        <v>1347</v>
      </c>
      <c r="G720" s="4"/>
      <c r="H720" s="4"/>
    </row>
    <row r="721" spans="1:8" ht="27.6">
      <c r="A721" s="4">
        <v>183</v>
      </c>
      <c r="B721" s="4" t="s">
        <v>594</v>
      </c>
      <c r="C721" s="4" t="s">
        <v>1925</v>
      </c>
      <c r="D721" s="4" t="s">
        <v>595</v>
      </c>
      <c r="E721" s="4" t="s">
        <v>2673</v>
      </c>
      <c r="F721" s="4" t="s">
        <v>1594</v>
      </c>
      <c r="G721" s="4" t="s">
        <v>226</v>
      </c>
      <c r="H721" s="4" t="s">
        <v>1927</v>
      </c>
    </row>
    <row r="722" spans="1:8">
      <c r="A722" s="4">
        <v>183</v>
      </c>
      <c r="B722" s="4" t="s">
        <v>594</v>
      </c>
      <c r="C722" s="4" t="s">
        <v>1925</v>
      </c>
      <c r="D722" s="4" t="s">
        <v>595</v>
      </c>
      <c r="E722" s="4" t="s">
        <v>2674</v>
      </c>
      <c r="F722" s="4" t="s">
        <v>2675</v>
      </c>
      <c r="G722" s="4"/>
      <c r="H722" s="4"/>
    </row>
    <row r="723" spans="1:8">
      <c r="A723" s="4">
        <v>183</v>
      </c>
      <c r="B723" s="4" t="s">
        <v>594</v>
      </c>
      <c r="C723" s="4" t="s">
        <v>1930</v>
      </c>
      <c r="D723" s="4" t="s">
        <v>596</v>
      </c>
      <c r="E723" s="4" t="s">
        <v>596</v>
      </c>
      <c r="F723" s="4" t="s">
        <v>1595</v>
      </c>
      <c r="G723" s="4"/>
      <c r="H723" s="4"/>
    </row>
    <row r="724" spans="1:8">
      <c r="A724" s="4">
        <v>183</v>
      </c>
      <c r="B724" s="4" t="s">
        <v>594</v>
      </c>
      <c r="C724" s="4" t="s">
        <v>1936</v>
      </c>
      <c r="D724" s="4" t="s">
        <v>267</v>
      </c>
      <c r="E724" s="4" t="s">
        <v>173</v>
      </c>
      <c r="F724" s="4" t="s">
        <v>1347</v>
      </c>
      <c r="G724" s="4"/>
      <c r="H724" s="4"/>
    </row>
    <row r="725" spans="1:8" ht="27.6">
      <c r="A725" s="4">
        <v>184</v>
      </c>
      <c r="B725" s="4" t="s">
        <v>597</v>
      </c>
      <c r="C725" s="4" t="s">
        <v>1925</v>
      </c>
      <c r="D725" s="4" t="s">
        <v>598</v>
      </c>
      <c r="E725" s="4" t="s">
        <v>2676</v>
      </c>
      <c r="F725" s="4" t="s">
        <v>1596</v>
      </c>
      <c r="G725" s="4" t="s">
        <v>226</v>
      </c>
      <c r="H725" s="4" t="s">
        <v>1927</v>
      </c>
    </row>
    <row r="726" spans="1:8">
      <c r="A726" s="4">
        <v>184</v>
      </c>
      <c r="B726" s="4" t="s">
        <v>597</v>
      </c>
      <c r="C726" s="4" t="s">
        <v>1925</v>
      </c>
      <c r="D726" s="4" t="s">
        <v>598</v>
      </c>
      <c r="E726" s="4" t="s">
        <v>2677</v>
      </c>
      <c r="F726" s="4" t="s">
        <v>2678</v>
      </c>
      <c r="G726" s="4"/>
      <c r="H726" s="4"/>
    </row>
    <row r="727" spans="1:8">
      <c r="A727" s="4">
        <v>184</v>
      </c>
      <c r="B727" s="4" t="s">
        <v>597</v>
      </c>
      <c r="C727" s="4" t="s">
        <v>1925</v>
      </c>
      <c r="D727" s="4" t="s">
        <v>598</v>
      </c>
      <c r="E727" s="4" t="s">
        <v>2679</v>
      </c>
      <c r="F727" s="4" t="s">
        <v>2680</v>
      </c>
      <c r="G727" s="4"/>
      <c r="H727" s="4"/>
    </row>
    <row r="728" spans="1:8">
      <c r="A728" s="4">
        <v>184</v>
      </c>
      <c r="B728" s="4" t="s">
        <v>597</v>
      </c>
      <c r="C728" s="4" t="s">
        <v>1930</v>
      </c>
      <c r="D728" s="4" t="s">
        <v>599</v>
      </c>
      <c r="E728" s="4" t="s">
        <v>599</v>
      </c>
      <c r="F728" s="4" t="s">
        <v>1597</v>
      </c>
      <c r="G728" s="4"/>
      <c r="H728" s="4"/>
    </row>
    <row r="729" spans="1:8">
      <c r="A729" s="4">
        <v>184</v>
      </c>
      <c r="B729" s="4" t="s">
        <v>597</v>
      </c>
      <c r="C729" s="4" t="s">
        <v>1936</v>
      </c>
      <c r="D729" s="4" t="s">
        <v>267</v>
      </c>
      <c r="E729" s="4" t="s">
        <v>173</v>
      </c>
      <c r="F729" s="4" t="s">
        <v>1347</v>
      </c>
      <c r="G729" s="4"/>
      <c r="H729" s="4"/>
    </row>
    <row r="730" spans="1:8" ht="27.6">
      <c r="A730" s="4">
        <v>185</v>
      </c>
      <c r="B730" s="4" t="s">
        <v>600</v>
      </c>
      <c r="C730" s="4" t="s">
        <v>1925</v>
      </c>
      <c r="D730" s="4" t="s">
        <v>601</v>
      </c>
      <c r="E730" s="4" t="s">
        <v>2681</v>
      </c>
      <c r="F730" s="4" t="s">
        <v>1598</v>
      </c>
      <c r="G730" s="4" t="s">
        <v>604</v>
      </c>
      <c r="H730" s="4" t="s">
        <v>1927</v>
      </c>
    </row>
    <row r="731" spans="1:8">
      <c r="A731" s="4">
        <v>185</v>
      </c>
      <c r="B731" s="4" t="s">
        <v>600</v>
      </c>
      <c r="C731" s="4" t="s">
        <v>1925</v>
      </c>
      <c r="D731" s="4" t="s">
        <v>601</v>
      </c>
      <c r="E731" s="4" t="s">
        <v>2682</v>
      </c>
      <c r="F731" s="4" t="s">
        <v>2683</v>
      </c>
      <c r="G731" s="4"/>
      <c r="H731" s="4"/>
    </row>
    <row r="732" spans="1:8">
      <c r="A732" s="4">
        <v>185</v>
      </c>
      <c r="B732" s="4" t="s">
        <v>600</v>
      </c>
      <c r="C732" s="4" t="s">
        <v>1930</v>
      </c>
      <c r="D732" s="4" t="s">
        <v>602</v>
      </c>
      <c r="E732" s="4" t="s">
        <v>602</v>
      </c>
      <c r="F732" s="4" t="s">
        <v>1599</v>
      </c>
      <c r="G732" s="4"/>
      <c r="H732" s="4"/>
    </row>
    <row r="733" spans="1:8">
      <c r="A733" s="4">
        <v>185</v>
      </c>
      <c r="B733" s="4" t="s">
        <v>600</v>
      </c>
      <c r="C733" s="4" t="s">
        <v>1936</v>
      </c>
      <c r="D733" s="4" t="s">
        <v>603</v>
      </c>
      <c r="E733" s="4" t="s">
        <v>608</v>
      </c>
      <c r="F733" s="4" t="s">
        <v>1600</v>
      </c>
      <c r="G733" s="4"/>
      <c r="H733" s="4"/>
    </row>
    <row r="734" spans="1:8" ht="27.6">
      <c r="A734" s="4">
        <v>186</v>
      </c>
      <c r="B734" s="4" t="s">
        <v>606</v>
      </c>
      <c r="C734" s="4" t="s">
        <v>1925</v>
      </c>
      <c r="D734" s="4" t="s">
        <v>607</v>
      </c>
      <c r="E734" s="4" t="s">
        <v>2684</v>
      </c>
      <c r="F734" s="4" t="s">
        <v>1601</v>
      </c>
      <c r="G734" s="4" t="s">
        <v>604</v>
      </c>
      <c r="H734" s="4" t="s">
        <v>1927</v>
      </c>
    </row>
    <row r="735" spans="1:8">
      <c r="A735" s="4">
        <v>186</v>
      </c>
      <c r="B735" s="4" t="s">
        <v>606</v>
      </c>
      <c r="C735" s="4" t="s">
        <v>1925</v>
      </c>
      <c r="D735" s="4" t="s">
        <v>607</v>
      </c>
      <c r="E735" s="4" t="s">
        <v>2685</v>
      </c>
      <c r="F735" s="4" t="s">
        <v>2686</v>
      </c>
      <c r="G735" s="4"/>
      <c r="H735" s="4"/>
    </row>
    <row r="736" spans="1:8">
      <c r="A736" s="4">
        <v>186</v>
      </c>
      <c r="B736" s="4" t="s">
        <v>606</v>
      </c>
      <c r="C736" s="4" t="s">
        <v>1925</v>
      </c>
      <c r="D736" s="4" t="s">
        <v>607</v>
      </c>
      <c r="E736" s="4" t="s">
        <v>2687</v>
      </c>
      <c r="F736" s="4" t="s">
        <v>2688</v>
      </c>
      <c r="G736" s="4"/>
      <c r="H736" s="4"/>
    </row>
    <row r="737" spans="1:8">
      <c r="A737" s="4">
        <v>186</v>
      </c>
      <c r="B737" s="4" t="s">
        <v>606</v>
      </c>
      <c r="C737" s="4" t="s">
        <v>1930</v>
      </c>
      <c r="D737" s="4" t="s">
        <v>608</v>
      </c>
      <c r="E737" s="4" t="s">
        <v>608</v>
      </c>
      <c r="F737" s="4" t="s">
        <v>1600</v>
      </c>
      <c r="G737" s="4"/>
      <c r="H737" s="4"/>
    </row>
    <row r="738" spans="1:8">
      <c r="A738" s="4">
        <v>186</v>
      </c>
      <c r="B738" s="4" t="s">
        <v>606</v>
      </c>
      <c r="C738" s="4" t="s">
        <v>1936</v>
      </c>
      <c r="D738" s="4" t="s">
        <v>603</v>
      </c>
      <c r="E738" s="4" t="s">
        <v>608</v>
      </c>
      <c r="F738" s="4" t="s">
        <v>1600</v>
      </c>
      <c r="G738" s="4"/>
      <c r="H738" s="4"/>
    </row>
    <row r="739" spans="1:8" ht="27.6">
      <c r="A739" s="4">
        <v>187</v>
      </c>
      <c r="B739" s="4" t="s">
        <v>609</v>
      </c>
      <c r="C739" s="4" t="s">
        <v>1925</v>
      </c>
      <c r="D739" s="4" t="s">
        <v>610</v>
      </c>
      <c r="E739" s="4" t="s">
        <v>2689</v>
      </c>
      <c r="F739" s="4" t="s">
        <v>1602</v>
      </c>
      <c r="G739" s="4" t="s">
        <v>20</v>
      </c>
      <c r="H739" s="4" t="s">
        <v>1927</v>
      </c>
    </row>
    <row r="740" spans="1:8">
      <c r="A740" s="4">
        <v>187</v>
      </c>
      <c r="B740" s="4" t="s">
        <v>609</v>
      </c>
      <c r="C740" s="4" t="s">
        <v>1925</v>
      </c>
      <c r="D740" s="4" t="s">
        <v>610</v>
      </c>
      <c r="E740" s="4" t="s">
        <v>2690</v>
      </c>
      <c r="F740" s="4" t="s">
        <v>2691</v>
      </c>
      <c r="G740" s="4"/>
      <c r="H740" s="4"/>
    </row>
    <row r="741" spans="1:8">
      <c r="A741" s="4">
        <v>187</v>
      </c>
      <c r="B741" s="4" t="s">
        <v>609</v>
      </c>
      <c r="C741" s="4" t="s">
        <v>1930</v>
      </c>
      <c r="D741" s="4" t="s">
        <v>611</v>
      </c>
      <c r="E741" s="4" t="s">
        <v>611</v>
      </c>
      <c r="F741" s="4" t="s">
        <v>1571</v>
      </c>
      <c r="G741" s="4"/>
      <c r="H741" s="4"/>
    </row>
    <row r="742" spans="1:8">
      <c r="A742" s="4">
        <v>187</v>
      </c>
      <c r="B742" s="4" t="s">
        <v>609</v>
      </c>
      <c r="C742" s="4" t="s">
        <v>1936</v>
      </c>
      <c r="D742" s="4" t="s">
        <v>17</v>
      </c>
      <c r="E742" s="4" t="s">
        <v>636</v>
      </c>
      <c r="F742" s="4" t="s">
        <v>1270</v>
      </c>
      <c r="G742" s="4"/>
      <c r="H742" s="4"/>
    </row>
    <row r="743" spans="1:8" ht="27.6">
      <c r="A743" s="4">
        <v>188</v>
      </c>
      <c r="B743" s="4" t="s">
        <v>612</v>
      </c>
      <c r="C743" s="4" t="s">
        <v>1925</v>
      </c>
      <c r="D743" s="4" t="s">
        <v>613</v>
      </c>
      <c r="E743" s="4" t="s">
        <v>2692</v>
      </c>
      <c r="F743" s="4" t="s">
        <v>1603</v>
      </c>
      <c r="G743" s="4" t="s">
        <v>20</v>
      </c>
      <c r="H743" s="4" t="s">
        <v>1927</v>
      </c>
    </row>
    <row r="744" spans="1:8">
      <c r="A744" s="4">
        <v>188</v>
      </c>
      <c r="B744" s="4" t="s">
        <v>612</v>
      </c>
      <c r="C744" s="4" t="s">
        <v>1925</v>
      </c>
      <c r="D744" s="4" t="s">
        <v>613</v>
      </c>
      <c r="E744" s="4" t="s">
        <v>2693</v>
      </c>
      <c r="F744" s="4" t="s">
        <v>2694</v>
      </c>
      <c r="G744" s="4"/>
      <c r="H744" s="4"/>
    </row>
    <row r="745" spans="1:8">
      <c r="A745" s="4">
        <v>188</v>
      </c>
      <c r="B745" s="4" t="s">
        <v>612</v>
      </c>
      <c r="C745" s="4" t="s">
        <v>1925</v>
      </c>
      <c r="D745" s="4" t="s">
        <v>613</v>
      </c>
      <c r="E745" s="4" t="s">
        <v>2695</v>
      </c>
      <c r="F745" s="4" t="s">
        <v>2696</v>
      </c>
      <c r="G745" s="4"/>
      <c r="H745" s="4"/>
    </row>
    <row r="746" spans="1:8">
      <c r="A746" s="4">
        <v>188</v>
      </c>
      <c r="B746" s="4" t="s">
        <v>612</v>
      </c>
      <c r="C746" s="4" t="s">
        <v>1930</v>
      </c>
      <c r="D746" s="4" t="s">
        <v>614</v>
      </c>
      <c r="E746" s="4" t="s">
        <v>614</v>
      </c>
      <c r="F746" s="4" t="s">
        <v>1604</v>
      </c>
      <c r="G746" s="4"/>
      <c r="H746" s="4"/>
    </row>
    <row r="747" spans="1:8">
      <c r="A747" s="4">
        <v>188</v>
      </c>
      <c r="B747" s="4" t="s">
        <v>612</v>
      </c>
      <c r="C747" s="4" t="s">
        <v>1936</v>
      </c>
      <c r="D747" s="4" t="s">
        <v>17</v>
      </c>
      <c r="E747" s="4" t="s">
        <v>636</v>
      </c>
      <c r="F747" s="4" t="s">
        <v>1270</v>
      </c>
      <c r="G747" s="4"/>
      <c r="H747" s="4"/>
    </row>
    <row r="748" spans="1:8" ht="27.6">
      <c r="A748" s="4">
        <v>189</v>
      </c>
      <c r="B748" s="4" t="s">
        <v>615</v>
      </c>
      <c r="C748" s="4" t="s">
        <v>1925</v>
      </c>
      <c r="D748" s="4" t="s">
        <v>616</v>
      </c>
      <c r="E748" s="4" t="s">
        <v>2697</v>
      </c>
      <c r="F748" s="4" t="s">
        <v>1605</v>
      </c>
      <c r="G748" s="4" t="s">
        <v>211</v>
      </c>
      <c r="H748" s="4" t="s">
        <v>1927</v>
      </c>
    </row>
    <row r="749" spans="1:8">
      <c r="A749" s="4">
        <v>189</v>
      </c>
      <c r="B749" s="4" t="s">
        <v>615</v>
      </c>
      <c r="C749" s="4" t="s">
        <v>1925</v>
      </c>
      <c r="D749" s="4" t="s">
        <v>616</v>
      </c>
      <c r="E749" s="4" t="s">
        <v>2698</v>
      </c>
      <c r="F749" s="4" t="s">
        <v>2699</v>
      </c>
      <c r="G749" s="4"/>
      <c r="H749" s="4"/>
    </row>
    <row r="750" spans="1:8">
      <c r="A750" s="4">
        <v>189</v>
      </c>
      <c r="B750" s="4" t="s">
        <v>615</v>
      </c>
      <c r="C750" s="4" t="s">
        <v>1925</v>
      </c>
      <c r="D750" s="4" t="s">
        <v>616</v>
      </c>
      <c r="E750" s="4" t="s">
        <v>2700</v>
      </c>
      <c r="F750" s="4" t="s">
        <v>2701</v>
      </c>
      <c r="G750" s="4"/>
      <c r="H750" s="4"/>
    </row>
    <row r="751" spans="1:8">
      <c r="A751" s="4">
        <v>189</v>
      </c>
      <c r="B751" s="4" t="s">
        <v>615</v>
      </c>
      <c r="C751" s="4" t="s">
        <v>1930</v>
      </c>
      <c r="D751" s="4" t="s">
        <v>617</v>
      </c>
      <c r="E751" s="4" t="s">
        <v>617</v>
      </c>
      <c r="F751" s="4" t="s">
        <v>1606</v>
      </c>
      <c r="G751" s="4"/>
      <c r="H751" s="4"/>
    </row>
    <row r="752" spans="1:8" ht="27.6">
      <c r="A752" s="4">
        <v>190</v>
      </c>
      <c r="B752" s="4" t="s">
        <v>618</v>
      </c>
      <c r="C752" s="4" t="s">
        <v>1925</v>
      </c>
      <c r="D752" s="4" t="s">
        <v>619</v>
      </c>
      <c r="E752" s="4" t="s">
        <v>2702</v>
      </c>
      <c r="F752" s="4" t="s">
        <v>1607</v>
      </c>
      <c r="G752" s="4" t="s">
        <v>254</v>
      </c>
      <c r="H752" s="4" t="s">
        <v>1927</v>
      </c>
    </row>
    <row r="753" spans="1:8">
      <c r="A753" s="4">
        <v>190</v>
      </c>
      <c r="B753" s="4" t="s">
        <v>618</v>
      </c>
      <c r="C753" s="4" t="s">
        <v>1925</v>
      </c>
      <c r="D753" s="4" t="s">
        <v>619</v>
      </c>
      <c r="E753" s="4" t="s">
        <v>2703</v>
      </c>
      <c r="F753" s="4" t="s">
        <v>2704</v>
      </c>
      <c r="G753" s="4"/>
      <c r="H753" s="4"/>
    </row>
    <row r="754" spans="1:8">
      <c r="A754" s="4">
        <v>190</v>
      </c>
      <c r="B754" s="4" t="s">
        <v>618</v>
      </c>
      <c r="C754" s="4" t="s">
        <v>1930</v>
      </c>
      <c r="D754" s="4" t="s">
        <v>253</v>
      </c>
      <c r="E754" s="4" t="s">
        <v>384</v>
      </c>
      <c r="F754" s="4" t="s">
        <v>1392</v>
      </c>
      <c r="G754" s="4"/>
      <c r="H754" s="4"/>
    </row>
    <row r="755" spans="1:8" ht="27.6">
      <c r="A755" s="4">
        <v>191</v>
      </c>
      <c r="B755" s="4" t="s">
        <v>620</v>
      </c>
      <c r="C755" s="4" t="s">
        <v>1925</v>
      </c>
      <c r="D755" s="4" t="s">
        <v>621</v>
      </c>
      <c r="E755" s="4" t="s">
        <v>2705</v>
      </c>
      <c r="F755" s="4" t="s">
        <v>1608</v>
      </c>
      <c r="G755" s="4" t="s">
        <v>254</v>
      </c>
      <c r="H755" s="4" t="s">
        <v>1927</v>
      </c>
    </row>
    <row r="756" spans="1:8">
      <c r="A756" s="4">
        <v>191</v>
      </c>
      <c r="B756" s="4" t="s">
        <v>620</v>
      </c>
      <c r="C756" s="4" t="s">
        <v>1925</v>
      </c>
      <c r="D756" s="4" t="s">
        <v>621</v>
      </c>
      <c r="E756" s="4" t="s">
        <v>2706</v>
      </c>
      <c r="F756" s="4" t="s">
        <v>2707</v>
      </c>
      <c r="G756" s="4"/>
      <c r="H756" s="4"/>
    </row>
    <row r="757" spans="1:8">
      <c r="A757" s="4">
        <v>191</v>
      </c>
      <c r="B757" s="4" t="s">
        <v>620</v>
      </c>
      <c r="C757" s="4" t="s">
        <v>1925</v>
      </c>
      <c r="D757" s="4" t="s">
        <v>621</v>
      </c>
      <c r="E757" s="4" t="s">
        <v>2708</v>
      </c>
      <c r="F757" s="4" t="s">
        <v>2709</v>
      </c>
      <c r="G757" s="4"/>
      <c r="H757" s="4"/>
    </row>
    <row r="758" spans="1:8">
      <c r="A758" s="4">
        <v>191</v>
      </c>
      <c r="B758" s="4" t="s">
        <v>620</v>
      </c>
      <c r="C758" s="4" t="s">
        <v>1930</v>
      </c>
      <c r="D758" s="4" t="s">
        <v>253</v>
      </c>
      <c r="E758" s="4" t="s">
        <v>384</v>
      </c>
      <c r="F758" s="4" t="s">
        <v>1392</v>
      </c>
      <c r="G758" s="4"/>
      <c r="H758" s="4"/>
    </row>
    <row r="759" spans="1:8" ht="27.6">
      <c r="A759" s="4">
        <v>192</v>
      </c>
      <c r="B759" s="4" t="s">
        <v>622</v>
      </c>
      <c r="C759" s="4" t="s">
        <v>1925</v>
      </c>
      <c r="D759" s="4" t="s">
        <v>623</v>
      </c>
      <c r="E759" s="4" t="s">
        <v>2710</v>
      </c>
      <c r="F759" s="4" t="s">
        <v>1609</v>
      </c>
      <c r="G759" s="4" t="s">
        <v>254</v>
      </c>
      <c r="H759" s="4" t="s">
        <v>1927</v>
      </c>
    </row>
    <row r="760" spans="1:8">
      <c r="A760" s="4">
        <v>192</v>
      </c>
      <c r="B760" s="4" t="s">
        <v>622</v>
      </c>
      <c r="C760" s="4" t="s">
        <v>1925</v>
      </c>
      <c r="D760" s="4" t="s">
        <v>623</v>
      </c>
      <c r="E760" s="4" t="s">
        <v>2711</v>
      </c>
      <c r="F760" s="4" t="s">
        <v>2712</v>
      </c>
      <c r="G760" s="4"/>
      <c r="H760" s="4"/>
    </row>
    <row r="761" spans="1:8">
      <c r="A761" s="4">
        <v>192</v>
      </c>
      <c r="B761" s="4" t="s">
        <v>622</v>
      </c>
      <c r="C761" s="4" t="s">
        <v>1930</v>
      </c>
      <c r="D761" s="4" t="s">
        <v>253</v>
      </c>
      <c r="E761" s="4" t="s">
        <v>384</v>
      </c>
      <c r="F761" s="4" t="s">
        <v>1392</v>
      </c>
      <c r="G761" s="4"/>
      <c r="H761" s="4"/>
    </row>
    <row r="762" spans="1:8" ht="27.6">
      <c r="A762" s="4">
        <v>193</v>
      </c>
      <c r="B762" s="4" t="s">
        <v>624</v>
      </c>
      <c r="C762" s="4" t="s">
        <v>1925</v>
      </c>
      <c r="D762" s="4" t="s">
        <v>625</v>
      </c>
      <c r="E762" s="4" t="s">
        <v>2713</v>
      </c>
      <c r="F762" s="4" t="s">
        <v>1610</v>
      </c>
      <c r="G762" s="4" t="s">
        <v>254</v>
      </c>
      <c r="H762" s="4" t="s">
        <v>1927</v>
      </c>
    </row>
    <row r="763" spans="1:8">
      <c r="A763" s="4">
        <v>193</v>
      </c>
      <c r="B763" s="4" t="s">
        <v>624</v>
      </c>
      <c r="C763" s="4" t="s">
        <v>1925</v>
      </c>
      <c r="D763" s="4" t="s">
        <v>625</v>
      </c>
      <c r="E763" s="4" t="s">
        <v>2714</v>
      </c>
      <c r="F763" s="4" t="s">
        <v>2715</v>
      </c>
      <c r="G763" s="4"/>
      <c r="H763" s="4"/>
    </row>
    <row r="764" spans="1:8">
      <c r="A764" s="4">
        <v>193</v>
      </c>
      <c r="B764" s="4" t="s">
        <v>624</v>
      </c>
      <c r="C764" s="4" t="s">
        <v>1925</v>
      </c>
      <c r="D764" s="4" t="s">
        <v>625</v>
      </c>
      <c r="E764" s="4" t="s">
        <v>2716</v>
      </c>
      <c r="F764" s="4" t="s">
        <v>2717</v>
      </c>
      <c r="G764" s="4"/>
      <c r="H764" s="4"/>
    </row>
    <row r="765" spans="1:8">
      <c r="A765" s="4">
        <v>193</v>
      </c>
      <c r="B765" s="4" t="s">
        <v>624</v>
      </c>
      <c r="C765" s="4" t="s">
        <v>1930</v>
      </c>
      <c r="D765" s="4" t="s">
        <v>253</v>
      </c>
      <c r="E765" s="4" t="s">
        <v>384</v>
      </c>
      <c r="F765" s="4" t="s">
        <v>1392</v>
      </c>
      <c r="G765" s="4"/>
      <c r="H765" s="4"/>
    </row>
    <row r="766" spans="1:8" ht="27.6">
      <c r="A766" s="4">
        <v>194</v>
      </c>
      <c r="B766" s="4" t="s">
        <v>626</v>
      </c>
      <c r="C766" s="4" t="s">
        <v>1925</v>
      </c>
      <c r="D766" s="4" t="s">
        <v>627</v>
      </c>
      <c r="E766" s="4" t="s">
        <v>2718</v>
      </c>
      <c r="F766" s="4" t="s">
        <v>1611</v>
      </c>
      <c r="G766" s="4" t="s">
        <v>254</v>
      </c>
      <c r="H766" s="4" t="s">
        <v>1927</v>
      </c>
    </row>
    <row r="767" spans="1:8">
      <c r="A767" s="4">
        <v>194</v>
      </c>
      <c r="B767" s="4" t="s">
        <v>626</v>
      </c>
      <c r="C767" s="4" t="s">
        <v>1925</v>
      </c>
      <c r="D767" s="4" t="s">
        <v>627</v>
      </c>
      <c r="E767" s="4" t="s">
        <v>2719</v>
      </c>
      <c r="F767" s="4" t="s">
        <v>2720</v>
      </c>
      <c r="G767" s="4"/>
      <c r="H767" s="4"/>
    </row>
    <row r="768" spans="1:8">
      <c r="A768" s="4">
        <v>194</v>
      </c>
      <c r="B768" s="4" t="s">
        <v>626</v>
      </c>
      <c r="C768" s="4" t="s">
        <v>1930</v>
      </c>
      <c r="D768" s="4" t="s">
        <v>253</v>
      </c>
      <c r="E768" s="4" t="s">
        <v>384</v>
      </c>
      <c r="F768" s="4" t="s">
        <v>1392</v>
      </c>
      <c r="G768" s="4"/>
      <c r="H768" s="4"/>
    </row>
    <row r="769" spans="1:8" ht="27.6">
      <c r="A769" s="4">
        <v>195</v>
      </c>
      <c r="B769" s="4" t="s">
        <v>628</v>
      </c>
      <c r="C769" s="4" t="s">
        <v>1925</v>
      </c>
      <c r="D769" s="4" t="s">
        <v>629</v>
      </c>
      <c r="E769" s="4" t="s">
        <v>2721</v>
      </c>
      <c r="F769" s="4" t="s">
        <v>1612</v>
      </c>
      <c r="G769" s="4" t="s">
        <v>254</v>
      </c>
      <c r="H769" s="4" t="s">
        <v>1927</v>
      </c>
    </row>
    <row r="770" spans="1:8">
      <c r="A770" s="4">
        <v>195</v>
      </c>
      <c r="B770" s="4" t="s">
        <v>628</v>
      </c>
      <c r="C770" s="4" t="s">
        <v>1925</v>
      </c>
      <c r="D770" s="4" t="s">
        <v>629</v>
      </c>
      <c r="E770" s="4" t="s">
        <v>2722</v>
      </c>
      <c r="F770" s="4" t="s">
        <v>2723</v>
      </c>
      <c r="G770" s="4"/>
      <c r="H770" s="4"/>
    </row>
    <row r="771" spans="1:8">
      <c r="A771" s="4">
        <v>195</v>
      </c>
      <c r="B771" s="4" t="s">
        <v>628</v>
      </c>
      <c r="C771" s="4" t="s">
        <v>1925</v>
      </c>
      <c r="D771" s="4" t="s">
        <v>629</v>
      </c>
      <c r="E771" s="4" t="s">
        <v>2724</v>
      </c>
      <c r="F771" s="4" t="s">
        <v>2725</v>
      </c>
      <c r="G771" s="4"/>
      <c r="H771" s="4"/>
    </row>
    <row r="772" spans="1:8">
      <c r="A772" s="4">
        <v>195</v>
      </c>
      <c r="B772" s="4" t="s">
        <v>628</v>
      </c>
      <c r="C772" s="4" t="s">
        <v>1930</v>
      </c>
      <c r="D772" s="4" t="s">
        <v>630</v>
      </c>
      <c r="E772" s="4" t="s">
        <v>630</v>
      </c>
      <c r="F772" s="4" t="s">
        <v>1613</v>
      </c>
      <c r="G772" s="4"/>
      <c r="H772" s="4"/>
    </row>
    <row r="773" spans="1:8">
      <c r="A773" s="4">
        <v>195</v>
      </c>
      <c r="B773" s="4" t="s">
        <v>628</v>
      </c>
      <c r="C773" s="4" t="s">
        <v>1936</v>
      </c>
      <c r="D773" s="4" t="s">
        <v>253</v>
      </c>
      <c r="E773" s="4" t="s">
        <v>384</v>
      </c>
      <c r="F773" s="4" t="s">
        <v>1392</v>
      </c>
      <c r="G773" s="4"/>
      <c r="H773" s="4"/>
    </row>
    <row r="774" spans="1:8" ht="27.6">
      <c r="A774" s="4">
        <v>196</v>
      </c>
      <c r="B774" s="4" t="s">
        <v>631</v>
      </c>
      <c r="C774" s="4" t="s">
        <v>1925</v>
      </c>
      <c r="D774" s="4" t="s">
        <v>632</v>
      </c>
      <c r="E774" s="4" t="s">
        <v>2726</v>
      </c>
      <c r="F774" s="4" t="s">
        <v>1614</v>
      </c>
      <c r="G774" s="4" t="s">
        <v>20</v>
      </c>
      <c r="H774" s="4" t="s">
        <v>1927</v>
      </c>
    </row>
    <row r="775" spans="1:8">
      <c r="A775" s="4">
        <v>196</v>
      </c>
      <c r="B775" s="4" t="s">
        <v>631</v>
      </c>
      <c r="C775" s="4" t="s">
        <v>1925</v>
      </c>
      <c r="D775" s="4" t="s">
        <v>632</v>
      </c>
      <c r="E775" s="4" t="s">
        <v>2727</v>
      </c>
      <c r="F775" s="4" t="s">
        <v>2728</v>
      </c>
      <c r="G775" s="4"/>
      <c r="H775" s="4"/>
    </row>
    <row r="776" spans="1:8">
      <c r="A776" s="4">
        <v>196</v>
      </c>
      <c r="B776" s="4" t="s">
        <v>631</v>
      </c>
      <c r="C776" s="4" t="s">
        <v>1930</v>
      </c>
      <c r="D776" s="4" t="s">
        <v>633</v>
      </c>
      <c r="E776" s="4" t="s">
        <v>633</v>
      </c>
      <c r="F776" s="4" t="s">
        <v>1615</v>
      </c>
      <c r="G776" s="4"/>
      <c r="H776" s="4"/>
    </row>
    <row r="777" spans="1:8">
      <c r="A777" s="4">
        <v>196</v>
      </c>
      <c r="B777" s="4" t="s">
        <v>631</v>
      </c>
      <c r="C777" s="4" t="s">
        <v>1936</v>
      </c>
      <c r="D777" s="4" t="s">
        <v>17</v>
      </c>
      <c r="E777" s="4" t="s">
        <v>636</v>
      </c>
      <c r="F777" s="4" t="s">
        <v>1270</v>
      </c>
      <c r="G777" s="4"/>
      <c r="H777" s="4"/>
    </row>
    <row r="778" spans="1:8" ht="27.6">
      <c r="A778" s="4">
        <v>197</v>
      </c>
      <c r="B778" s="4" t="s">
        <v>634</v>
      </c>
      <c r="C778" s="4" t="s">
        <v>1925</v>
      </c>
      <c r="D778" s="4" t="s">
        <v>635</v>
      </c>
      <c r="E778" s="4" t="s">
        <v>2729</v>
      </c>
      <c r="F778" s="4" t="s">
        <v>1616</v>
      </c>
      <c r="G778" s="4" t="s">
        <v>20</v>
      </c>
      <c r="H778" s="4" t="s">
        <v>1927</v>
      </c>
    </row>
    <row r="779" spans="1:8">
      <c r="A779" s="4">
        <v>197</v>
      </c>
      <c r="B779" s="4" t="s">
        <v>634</v>
      </c>
      <c r="C779" s="4" t="s">
        <v>1925</v>
      </c>
      <c r="D779" s="4" t="s">
        <v>635</v>
      </c>
      <c r="E779" s="4" t="s">
        <v>2730</v>
      </c>
      <c r="F779" s="4" t="s">
        <v>2731</v>
      </c>
      <c r="G779" s="4"/>
      <c r="H779" s="4"/>
    </row>
    <row r="780" spans="1:8">
      <c r="A780" s="4">
        <v>197</v>
      </c>
      <c r="B780" s="4" t="s">
        <v>634</v>
      </c>
      <c r="C780" s="4" t="s">
        <v>1925</v>
      </c>
      <c r="D780" s="4" t="s">
        <v>635</v>
      </c>
      <c r="E780" s="4" t="s">
        <v>2732</v>
      </c>
      <c r="F780" s="4" t="s">
        <v>2733</v>
      </c>
      <c r="G780" s="4"/>
      <c r="H780" s="4"/>
    </row>
    <row r="781" spans="1:8">
      <c r="A781" s="4">
        <v>197</v>
      </c>
      <c r="B781" s="4" t="s">
        <v>634</v>
      </c>
      <c r="C781" s="4" t="s">
        <v>1930</v>
      </c>
      <c r="D781" s="4" t="s">
        <v>636</v>
      </c>
      <c r="E781" s="4" t="s">
        <v>636</v>
      </c>
      <c r="F781" s="4" t="s">
        <v>1270</v>
      </c>
      <c r="G781" s="4"/>
      <c r="H781" s="4"/>
    </row>
    <row r="782" spans="1:8" ht="27.6">
      <c r="A782" s="4">
        <v>198</v>
      </c>
      <c r="B782" s="4" t="s">
        <v>637</v>
      </c>
      <c r="C782" s="4" t="s">
        <v>1925</v>
      </c>
      <c r="D782" s="4" t="s">
        <v>638</v>
      </c>
      <c r="E782" s="4" t="s">
        <v>2734</v>
      </c>
      <c r="F782" s="4" t="s">
        <v>1617</v>
      </c>
      <c r="G782" s="4" t="s">
        <v>254</v>
      </c>
      <c r="H782" s="4" t="s">
        <v>1927</v>
      </c>
    </row>
    <row r="783" spans="1:8">
      <c r="A783" s="4">
        <v>198</v>
      </c>
      <c r="B783" s="4" t="s">
        <v>637</v>
      </c>
      <c r="C783" s="4" t="s">
        <v>1925</v>
      </c>
      <c r="D783" s="4" t="s">
        <v>638</v>
      </c>
      <c r="E783" s="4" t="s">
        <v>2735</v>
      </c>
      <c r="F783" s="4" t="s">
        <v>2736</v>
      </c>
      <c r="G783" s="4"/>
      <c r="H783" s="4"/>
    </row>
    <row r="784" spans="1:8">
      <c r="A784" s="4">
        <v>198</v>
      </c>
      <c r="B784" s="4" t="s">
        <v>637</v>
      </c>
      <c r="C784" s="4" t="s">
        <v>1930</v>
      </c>
      <c r="D784" s="4" t="s">
        <v>639</v>
      </c>
      <c r="E784" s="4" t="s">
        <v>639</v>
      </c>
      <c r="F784" s="4" t="s">
        <v>1618</v>
      </c>
      <c r="G784" s="4"/>
      <c r="H784" s="4"/>
    </row>
    <row r="785" spans="1:8">
      <c r="A785" s="4">
        <v>198</v>
      </c>
      <c r="B785" s="4" t="s">
        <v>637</v>
      </c>
      <c r="C785" s="4" t="s">
        <v>1936</v>
      </c>
      <c r="D785" s="4" t="s">
        <v>253</v>
      </c>
      <c r="E785" s="4" t="s">
        <v>384</v>
      </c>
      <c r="F785" s="4" t="s">
        <v>1392</v>
      </c>
      <c r="G785" s="4"/>
      <c r="H785" s="4"/>
    </row>
    <row r="786" spans="1:8" ht="27.6">
      <c r="A786" s="4">
        <v>199</v>
      </c>
      <c r="B786" s="4" t="s">
        <v>640</v>
      </c>
      <c r="C786" s="4" t="s">
        <v>1925</v>
      </c>
      <c r="D786" s="4" t="s">
        <v>641</v>
      </c>
      <c r="E786" s="4" t="s">
        <v>2737</v>
      </c>
      <c r="F786" s="4" t="s">
        <v>1619</v>
      </c>
      <c r="G786" s="4" t="s">
        <v>29</v>
      </c>
      <c r="H786" s="4" t="s">
        <v>1927</v>
      </c>
    </row>
    <row r="787" spans="1:8">
      <c r="A787" s="4">
        <v>199</v>
      </c>
      <c r="B787" s="4" t="s">
        <v>640</v>
      </c>
      <c r="C787" s="4" t="s">
        <v>1925</v>
      </c>
      <c r="D787" s="4" t="s">
        <v>641</v>
      </c>
      <c r="E787" s="4" t="s">
        <v>2738</v>
      </c>
      <c r="F787" s="4" t="s">
        <v>2739</v>
      </c>
      <c r="G787" s="4"/>
      <c r="H787" s="4"/>
    </row>
    <row r="788" spans="1:8">
      <c r="A788" s="4">
        <v>199</v>
      </c>
      <c r="B788" s="4" t="s">
        <v>640</v>
      </c>
      <c r="C788" s="4" t="s">
        <v>1925</v>
      </c>
      <c r="D788" s="4" t="s">
        <v>641</v>
      </c>
      <c r="E788" s="4" t="s">
        <v>2740</v>
      </c>
      <c r="F788" s="4" t="s">
        <v>2741</v>
      </c>
      <c r="G788" s="4"/>
      <c r="H788" s="4"/>
    </row>
    <row r="789" spans="1:8">
      <c r="A789" s="4">
        <v>199</v>
      </c>
      <c r="B789" s="4" t="s">
        <v>640</v>
      </c>
      <c r="C789" s="4" t="s">
        <v>1930</v>
      </c>
      <c r="D789" s="4" t="s">
        <v>642</v>
      </c>
      <c r="E789" s="4" t="s">
        <v>642</v>
      </c>
      <c r="F789" s="4" t="s">
        <v>1620</v>
      </c>
      <c r="G789" s="4"/>
      <c r="H789" s="4"/>
    </row>
    <row r="790" spans="1:8">
      <c r="A790" s="4">
        <v>199</v>
      </c>
      <c r="B790" s="4" t="s">
        <v>640</v>
      </c>
      <c r="C790" s="4" t="s">
        <v>1936</v>
      </c>
      <c r="D790" s="4" t="s">
        <v>28</v>
      </c>
      <c r="E790" s="4" t="s">
        <v>877</v>
      </c>
      <c r="F790" s="4" t="s">
        <v>1273</v>
      </c>
      <c r="G790" s="4"/>
      <c r="H790" s="4"/>
    </row>
    <row r="791" spans="1:8" ht="27.6">
      <c r="A791" s="4">
        <v>200</v>
      </c>
      <c r="B791" s="4" t="s">
        <v>643</v>
      </c>
      <c r="C791" s="4" t="s">
        <v>1925</v>
      </c>
      <c r="D791" s="4" t="s">
        <v>644</v>
      </c>
      <c r="E791" s="4" t="s">
        <v>2742</v>
      </c>
      <c r="F791" s="4" t="s">
        <v>1621</v>
      </c>
      <c r="G791" s="4" t="s">
        <v>29</v>
      </c>
      <c r="H791" s="4" t="s">
        <v>1927</v>
      </c>
    </row>
    <row r="792" spans="1:8">
      <c r="A792" s="4">
        <v>200</v>
      </c>
      <c r="B792" s="4" t="s">
        <v>643</v>
      </c>
      <c r="C792" s="4" t="s">
        <v>1925</v>
      </c>
      <c r="D792" s="4" t="s">
        <v>644</v>
      </c>
      <c r="E792" s="4" t="s">
        <v>2743</v>
      </c>
      <c r="F792" s="4" t="s">
        <v>2744</v>
      </c>
      <c r="G792" s="4"/>
      <c r="H792" s="4"/>
    </row>
    <row r="793" spans="1:8">
      <c r="A793" s="4">
        <v>200</v>
      </c>
      <c r="B793" s="4" t="s">
        <v>643</v>
      </c>
      <c r="C793" s="4" t="s">
        <v>1925</v>
      </c>
      <c r="D793" s="4" t="s">
        <v>644</v>
      </c>
      <c r="E793" s="4" t="s">
        <v>2745</v>
      </c>
      <c r="F793" s="4" t="s">
        <v>2746</v>
      </c>
      <c r="G793" s="4"/>
      <c r="H793" s="4"/>
    </row>
    <row r="794" spans="1:8">
      <c r="A794" s="4">
        <v>200</v>
      </c>
      <c r="B794" s="4" t="s">
        <v>643</v>
      </c>
      <c r="C794" s="4" t="s">
        <v>1930</v>
      </c>
      <c r="D794" s="4" t="s">
        <v>645</v>
      </c>
      <c r="E794" s="4" t="s">
        <v>645</v>
      </c>
      <c r="F794" s="4" t="s">
        <v>1622</v>
      </c>
      <c r="G794" s="4"/>
      <c r="H794" s="4"/>
    </row>
    <row r="795" spans="1:8">
      <c r="A795" s="4">
        <v>200</v>
      </c>
      <c r="B795" s="4" t="s">
        <v>643</v>
      </c>
      <c r="C795" s="4" t="s">
        <v>1936</v>
      </c>
      <c r="D795" s="4" t="s">
        <v>28</v>
      </c>
      <c r="E795" s="4" t="s">
        <v>877</v>
      </c>
      <c r="F795" s="4" t="s">
        <v>1273</v>
      </c>
      <c r="G795" s="4"/>
      <c r="H795" s="4"/>
    </row>
    <row r="796" spans="1:8" ht="27.6">
      <c r="A796" s="4">
        <v>201</v>
      </c>
      <c r="B796" s="4" t="s">
        <v>646</v>
      </c>
      <c r="C796" s="4" t="s">
        <v>1925</v>
      </c>
      <c r="D796" s="4" t="s">
        <v>647</v>
      </c>
      <c r="E796" s="4" t="s">
        <v>2747</v>
      </c>
      <c r="F796" s="4" t="s">
        <v>1623</v>
      </c>
      <c r="G796" s="4" t="s">
        <v>29</v>
      </c>
      <c r="H796" s="4" t="s">
        <v>1927</v>
      </c>
    </row>
    <row r="797" spans="1:8">
      <c r="A797" s="4">
        <v>201</v>
      </c>
      <c r="B797" s="4" t="s">
        <v>646</v>
      </c>
      <c r="C797" s="4" t="s">
        <v>1925</v>
      </c>
      <c r="D797" s="4" t="s">
        <v>647</v>
      </c>
      <c r="E797" s="4" t="s">
        <v>2748</v>
      </c>
      <c r="F797" s="4" t="s">
        <v>2749</v>
      </c>
      <c r="G797" s="4"/>
      <c r="H797" s="4"/>
    </row>
    <row r="798" spans="1:8">
      <c r="A798" s="4">
        <v>201</v>
      </c>
      <c r="B798" s="4" t="s">
        <v>646</v>
      </c>
      <c r="C798" s="4" t="s">
        <v>1930</v>
      </c>
      <c r="D798" s="4" t="s">
        <v>648</v>
      </c>
      <c r="E798" s="4" t="s">
        <v>648</v>
      </c>
      <c r="F798" s="4" t="s">
        <v>1624</v>
      </c>
      <c r="G798" s="4"/>
      <c r="H798" s="4"/>
    </row>
    <row r="799" spans="1:8">
      <c r="A799" s="4">
        <v>201</v>
      </c>
      <c r="B799" s="4" t="s">
        <v>646</v>
      </c>
      <c r="C799" s="4" t="s">
        <v>1936</v>
      </c>
      <c r="D799" s="4" t="s">
        <v>28</v>
      </c>
      <c r="E799" s="4" t="s">
        <v>877</v>
      </c>
      <c r="F799" s="4" t="s">
        <v>1273</v>
      </c>
      <c r="G799" s="4"/>
      <c r="H799" s="4"/>
    </row>
    <row r="800" spans="1:8" ht="27.6">
      <c r="A800" s="4">
        <v>202</v>
      </c>
      <c r="B800" s="4" t="s">
        <v>649</v>
      </c>
      <c r="C800" s="4" t="s">
        <v>1925</v>
      </c>
      <c r="D800" s="4" t="s">
        <v>650</v>
      </c>
      <c r="E800" s="4" t="s">
        <v>2750</v>
      </c>
      <c r="F800" s="4" t="s">
        <v>1625</v>
      </c>
      <c r="G800" s="4" t="s">
        <v>29</v>
      </c>
      <c r="H800" s="4" t="s">
        <v>1927</v>
      </c>
    </row>
    <row r="801" spans="1:8">
      <c r="A801" s="4">
        <v>202</v>
      </c>
      <c r="B801" s="4" t="s">
        <v>649</v>
      </c>
      <c r="C801" s="4" t="s">
        <v>1925</v>
      </c>
      <c r="D801" s="4" t="s">
        <v>650</v>
      </c>
      <c r="E801" s="4" t="s">
        <v>2751</v>
      </c>
      <c r="F801" s="4" t="s">
        <v>2752</v>
      </c>
      <c r="G801" s="4"/>
      <c r="H801" s="4"/>
    </row>
    <row r="802" spans="1:8">
      <c r="A802" s="4">
        <v>202</v>
      </c>
      <c r="B802" s="4" t="s">
        <v>649</v>
      </c>
      <c r="C802" s="4" t="s">
        <v>1925</v>
      </c>
      <c r="D802" s="4" t="s">
        <v>650</v>
      </c>
      <c r="E802" s="4" t="s">
        <v>2753</v>
      </c>
      <c r="F802" s="4" t="s">
        <v>2754</v>
      </c>
      <c r="G802" s="4"/>
      <c r="H802" s="4"/>
    </row>
    <row r="803" spans="1:8">
      <c r="A803" s="4">
        <v>202</v>
      </c>
      <c r="B803" s="4" t="s">
        <v>649</v>
      </c>
      <c r="C803" s="4" t="s">
        <v>1930</v>
      </c>
      <c r="D803" s="4" t="s">
        <v>651</v>
      </c>
      <c r="E803" s="4" t="s">
        <v>651</v>
      </c>
      <c r="F803" s="4" t="s">
        <v>1626</v>
      </c>
      <c r="G803" s="4"/>
      <c r="H803" s="4"/>
    </row>
    <row r="804" spans="1:8" ht="27.6">
      <c r="A804" s="4">
        <v>203</v>
      </c>
      <c r="B804" s="4" t="s">
        <v>652</v>
      </c>
      <c r="C804" s="4" t="s">
        <v>1925</v>
      </c>
      <c r="D804" s="4" t="s">
        <v>653</v>
      </c>
      <c r="E804" s="4" t="s">
        <v>2755</v>
      </c>
      <c r="F804" s="4" t="s">
        <v>1627</v>
      </c>
      <c r="G804" s="4" t="s">
        <v>29</v>
      </c>
      <c r="H804" s="4" t="s">
        <v>1927</v>
      </c>
    </row>
    <row r="805" spans="1:8">
      <c r="A805" s="4">
        <v>203</v>
      </c>
      <c r="B805" s="4" t="s">
        <v>652</v>
      </c>
      <c r="C805" s="4" t="s">
        <v>1925</v>
      </c>
      <c r="D805" s="4" t="s">
        <v>653</v>
      </c>
      <c r="E805" s="4" t="s">
        <v>2756</v>
      </c>
      <c r="F805" s="4" t="s">
        <v>2757</v>
      </c>
      <c r="G805" s="4"/>
      <c r="H805" s="4"/>
    </row>
    <row r="806" spans="1:8">
      <c r="A806" s="4">
        <v>203</v>
      </c>
      <c r="B806" s="4" t="s">
        <v>652</v>
      </c>
      <c r="C806" s="4" t="s">
        <v>1930</v>
      </c>
      <c r="D806" s="4" t="s">
        <v>654</v>
      </c>
      <c r="E806" s="4" t="s">
        <v>654</v>
      </c>
      <c r="F806" s="4" t="s">
        <v>1628</v>
      </c>
      <c r="G806" s="4"/>
      <c r="H806" s="4"/>
    </row>
    <row r="807" spans="1:8" ht="27.6">
      <c r="A807" s="4">
        <v>204</v>
      </c>
      <c r="B807" s="4" t="s">
        <v>655</v>
      </c>
      <c r="C807" s="4" t="s">
        <v>1925</v>
      </c>
      <c r="D807" s="4" t="s">
        <v>656</v>
      </c>
      <c r="E807" s="4" t="s">
        <v>2758</v>
      </c>
      <c r="F807" s="4" t="s">
        <v>1629</v>
      </c>
      <c r="G807" s="4" t="s">
        <v>29</v>
      </c>
      <c r="H807" s="4" t="s">
        <v>1927</v>
      </c>
    </row>
    <row r="808" spans="1:8">
      <c r="A808" s="4">
        <v>204</v>
      </c>
      <c r="B808" s="4" t="s">
        <v>655</v>
      </c>
      <c r="C808" s="4" t="s">
        <v>1925</v>
      </c>
      <c r="D808" s="4" t="s">
        <v>656</v>
      </c>
      <c r="E808" s="4" t="s">
        <v>2759</v>
      </c>
      <c r="F808" s="4" t="s">
        <v>2760</v>
      </c>
      <c r="G808" s="4"/>
      <c r="H808" s="4"/>
    </row>
    <row r="809" spans="1:8">
      <c r="A809" s="4">
        <v>204</v>
      </c>
      <c r="B809" s="4" t="s">
        <v>655</v>
      </c>
      <c r="C809" s="4" t="s">
        <v>1925</v>
      </c>
      <c r="D809" s="4" t="s">
        <v>656</v>
      </c>
      <c r="E809" s="4" t="s">
        <v>2761</v>
      </c>
      <c r="F809" s="4" t="s">
        <v>2762</v>
      </c>
      <c r="G809" s="4"/>
      <c r="H809" s="4"/>
    </row>
    <row r="810" spans="1:8">
      <c r="A810" s="4">
        <v>204</v>
      </c>
      <c r="B810" s="4" t="s">
        <v>655</v>
      </c>
      <c r="C810" s="4" t="s">
        <v>1930</v>
      </c>
      <c r="D810" s="4" t="s">
        <v>657</v>
      </c>
      <c r="E810" s="4" t="s">
        <v>657</v>
      </c>
      <c r="F810" s="4" t="s">
        <v>1630</v>
      </c>
      <c r="G810" s="4"/>
      <c r="H810" s="4"/>
    </row>
    <row r="811" spans="1:8">
      <c r="A811" s="4">
        <v>204</v>
      </c>
      <c r="B811" s="4" t="s">
        <v>655</v>
      </c>
      <c r="C811" s="4" t="s">
        <v>1936</v>
      </c>
      <c r="D811" s="4" t="s">
        <v>28</v>
      </c>
      <c r="E811" s="4" t="s">
        <v>877</v>
      </c>
      <c r="F811" s="4" t="s">
        <v>1273</v>
      </c>
      <c r="G811" s="4"/>
      <c r="H811" s="4"/>
    </row>
    <row r="812" spans="1:8" ht="27.6">
      <c r="A812" s="4">
        <v>205</v>
      </c>
      <c r="B812" s="4" t="s">
        <v>658</v>
      </c>
      <c r="C812" s="4" t="s">
        <v>1925</v>
      </c>
      <c r="D812" s="4" t="s">
        <v>659</v>
      </c>
      <c r="E812" s="4" t="s">
        <v>2763</v>
      </c>
      <c r="F812" s="4" t="s">
        <v>1631</v>
      </c>
      <c r="G812" s="4" t="s">
        <v>604</v>
      </c>
      <c r="H812" s="4" t="s">
        <v>1927</v>
      </c>
    </row>
    <row r="813" spans="1:8">
      <c r="A813" s="4">
        <v>205</v>
      </c>
      <c r="B813" s="4" t="s">
        <v>658</v>
      </c>
      <c r="C813" s="4" t="s">
        <v>1925</v>
      </c>
      <c r="D813" s="4" t="s">
        <v>659</v>
      </c>
      <c r="E813" s="4" t="s">
        <v>2764</v>
      </c>
      <c r="F813" s="4" t="s">
        <v>2765</v>
      </c>
      <c r="G813" s="4"/>
      <c r="H813" s="4"/>
    </row>
    <row r="814" spans="1:8">
      <c r="A814" s="4">
        <v>205</v>
      </c>
      <c r="B814" s="4" t="s">
        <v>658</v>
      </c>
      <c r="C814" s="4" t="s">
        <v>1930</v>
      </c>
      <c r="D814" s="4" t="s">
        <v>603</v>
      </c>
      <c r="E814" s="4" t="s">
        <v>608</v>
      </c>
      <c r="F814" s="4" t="s">
        <v>1600</v>
      </c>
      <c r="G814" s="4"/>
      <c r="H814" s="4"/>
    </row>
    <row r="815" spans="1:8" ht="27.6">
      <c r="A815" s="4">
        <v>206</v>
      </c>
      <c r="B815" s="4" t="s">
        <v>660</v>
      </c>
      <c r="C815" s="4" t="s">
        <v>1925</v>
      </c>
      <c r="D815" s="4" t="s">
        <v>661</v>
      </c>
      <c r="E815" s="4" t="s">
        <v>2766</v>
      </c>
      <c r="F815" s="4" t="s">
        <v>1632</v>
      </c>
      <c r="G815" s="4" t="s">
        <v>604</v>
      </c>
      <c r="H815" s="4" t="s">
        <v>1927</v>
      </c>
    </row>
    <row r="816" spans="1:8">
      <c r="A816" s="4">
        <v>206</v>
      </c>
      <c r="B816" s="4" t="s">
        <v>660</v>
      </c>
      <c r="C816" s="4" t="s">
        <v>1925</v>
      </c>
      <c r="D816" s="4" t="s">
        <v>661</v>
      </c>
      <c r="E816" s="4" t="s">
        <v>2767</v>
      </c>
      <c r="F816" s="4" t="s">
        <v>2768</v>
      </c>
      <c r="G816" s="4"/>
      <c r="H816" s="4"/>
    </row>
    <row r="817" spans="1:8">
      <c r="A817" s="4">
        <v>206</v>
      </c>
      <c r="B817" s="4" t="s">
        <v>660</v>
      </c>
      <c r="C817" s="4" t="s">
        <v>1925</v>
      </c>
      <c r="D817" s="4" t="s">
        <v>661</v>
      </c>
      <c r="E817" s="4" t="s">
        <v>2769</v>
      </c>
      <c r="F817" s="4" t="s">
        <v>2770</v>
      </c>
      <c r="G817" s="4"/>
      <c r="H817" s="4"/>
    </row>
    <row r="818" spans="1:8">
      <c r="A818" s="4">
        <v>206</v>
      </c>
      <c r="B818" s="4" t="s">
        <v>660</v>
      </c>
      <c r="C818" s="4" t="s">
        <v>1930</v>
      </c>
      <c r="D818" s="4" t="s">
        <v>603</v>
      </c>
      <c r="E818" s="4" t="s">
        <v>608</v>
      </c>
      <c r="F818" s="4" t="s">
        <v>1600</v>
      </c>
      <c r="G818" s="4"/>
      <c r="H818" s="4"/>
    </row>
    <row r="819" spans="1:8" ht="27.6">
      <c r="A819" s="4">
        <v>207</v>
      </c>
      <c r="B819" s="4" t="s">
        <v>662</v>
      </c>
      <c r="C819" s="4" t="s">
        <v>1925</v>
      </c>
      <c r="D819" s="4" t="s">
        <v>663</v>
      </c>
      <c r="E819" s="4" t="s">
        <v>2771</v>
      </c>
      <c r="F819" s="4" t="s">
        <v>1633</v>
      </c>
      <c r="G819" s="4" t="s">
        <v>604</v>
      </c>
      <c r="H819" s="4" t="s">
        <v>1927</v>
      </c>
    </row>
    <row r="820" spans="1:8">
      <c r="A820" s="4">
        <v>207</v>
      </c>
      <c r="B820" s="4" t="s">
        <v>662</v>
      </c>
      <c r="C820" s="4" t="s">
        <v>1925</v>
      </c>
      <c r="D820" s="4" t="s">
        <v>663</v>
      </c>
      <c r="E820" s="4" t="s">
        <v>2772</v>
      </c>
      <c r="F820" s="4" t="s">
        <v>2773</v>
      </c>
      <c r="G820" s="4"/>
      <c r="H820" s="4"/>
    </row>
    <row r="821" spans="1:8">
      <c r="A821" s="4">
        <v>207</v>
      </c>
      <c r="B821" s="4" t="s">
        <v>662</v>
      </c>
      <c r="C821" s="4" t="s">
        <v>1930</v>
      </c>
      <c r="D821" s="4" t="s">
        <v>603</v>
      </c>
      <c r="E821" s="4" t="s">
        <v>608</v>
      </c>
      <c r="F821" s="4" t="s">
        <v>1600</v>
      </c>
      <c r="G821" s="4"/>
      <c r="H821" s="4"/>
    </row>
    <row r="822" spans="1:8" ht="27.6">
      <c r="A822" s="4">
        <v>208</v>
      </c>
      <c r="B822" s="4" t="s">
        <v>664</v>
      </c>
      <c r="C822" s="4" t="s">
        <v>1925</v>
      </c>
      <c r="D822" s="4" t="s">
        <v>665</v>
      </c>
      <c r="E822" s="4" t="s">
        <v>2774</v>
      </c>
      <c r="F822" s="4" t="s">
        <v>1634</v>
      </c>
      <c r="G822" s="4" t="s">
        <v>226</v>
      </c>
      <c r="H822" s="4" t="s">
        <v>1927</v>
      </c>
    </row>
    <row r="823" spans="1:8">
      <c r="A823" s="4">
        <v>208</v>
      </c>
      <c r="B823" s="4" t="s">
        <v>664</v>
      </c>
      <c r="C823" s="4" t="s">
        <v>1925</v>
      </c>
      <c r="D823" s="4" t="s">
        <v>665</v>
      </c>
      <c r="E823" s="4" t="s">
        <v>2775</v>
      </c>
      <c r="F823" s="4" t="s">
        <v>2776</v>
      </c>
      <c r="G823" s="4"/>
      <c r="H823" s="4"/>
    </row>
    <row r="824" spans="1:8">
      <c r="A824" s="4">
        <v>208</v>
      </c>
      <c r="B824" s="4" t="s">
        <v>664</v>
      </c>
      <c r="C824" s="4" t="s">
        <v>1925</v>
      </c>
      <c r="D824" s="4" t="s">
        <v>665</v>
      </c>
      <c r="E824" s="4" t="s">
        <v>2777</v>
      </c>
      <c r="F824" s="4" t="s">
        <v>2778</v>
      </c>
      <c r="G824" s="4"/>
      <c r="H824" s="4"/>
    </row>
    <row r="825" spans="1:8">
      <c r="A825" s="4">
        <v>208</v>
      </c>
      <c r="B825" s="4" t="s">
        <v>664</v>
      </c>
      <c r="C825" s="4" t="s">
        <v>1930</v>
      </c>
      <c r="D825" s="4" t="s">
        <v>666</v>
      </c>
      <c r="E825" s="4" t="s">
        <v>666</v>
      </c>
      <c r="F825" s="4" t="s">
        <v>1635</v>
      </c>
      <c r="G825" s="4"/>
      <c r="H825" s="4"/>
    </row>
    <row r="826" spans="1:8" ht="27.6">
      <c r="A826" s="4">
        <v>209</v>
      </c>
      <c r="B826" s="4" t="s">
        <v>667</v>
      </c>
      <c r="C826" s="4" t="s">
        <v>1925</v>
      </c>
      <c r="D826" s="4" t="s">
        <v>668</v>
      </c>
      <c r="E826" s="4" t="s">
        <v>2779</v>
      </c>
      <c r="F826" s="4" t="s">
        <v>1636</v>
      </c>
      <c r="G826" s="4" t="s">
        <v>226</v>
      </c>
      <c r="H826" s="4" t="s">
        <v>1927</v>
      </c>
    </row>
    <row r="827" spans="1:8">
      <c r="A827" s="4">
        <v>209</v>
      </c>
      <c r="B827" s="4" t="s">
        <v>667</v>
      </c>
      <c r="C827" s="4" t="s">
        <v>1925</v>
      </c>
      <c r="D827" s="4" t="s">
        <v>668</v>
      </c>
      <c r="E827" s="4" t="s">
        <v>2780</v>
      </c>
      <c r="F827" s="4" t="s">
        <v>2781</v>
      </c>
      <c r="G827" s="4"/>
      <c r="H827" s="4"/>
    </row>
    <row r="828" spans="1:8">
      <c r="A828" s="4">
        <v>209</v>
      </c>
      <c r="B828" s="4" t="s">
        <v>667</v>
      </c>
      <c r="C828" s="4" t="s">
        <v>1930</v>
      </c>
      <c r="D828" s="4" t="s">
        <v>669</v>
      </c>
      <c r="E828" s="4" t="s">
        <v>669</v>
      </c>
      <c r="F828" s="4" t="s">
        <v>1637</v>
      </c>
      <c r="G828" s="4"/>
      <c r="H828" s="4"/>
    </row>
    <row r="829" spans="1:8" ht="27.6">
      <c r="A829" s="4">
        <v>210</v>
      </c>
      <c r="B829" s="4" t="s">
        <v>670</v>
      </c>
      <c r="C829" s="4" t="s">
        <v>1925</v>
      </c>
      <c r="D829" s="4" t="s">
        <v>671</v>
      </c>
      <c r="E829" s="4" t="s">
        <v>2782</v>
      </c>
      <c r="F829" s="4" t="s">
        <v>1638</v>
      </c>
      <c r="G829" s="4" t="s">
        <v>226</v>
      </c>
      <c r="H829" s="4" t="s">
        <v>1927</v>
      </c>
    </row>
    <row r="830" spans="1:8">
      <c r="A830" s="4">
        <v>210</v>
      </c>
      <c r="B830" s="4" t="s">
        <v>670</v>
      </c>
      <c r="C830" s="4" t="s">
        <v>1925</v>
      </c>
      <c r="D830" s="4" t="s">
        <v>671</v>
      </c>
      <c r="E830" s="4" t="s">
        <v>2783</v>
      </c>
      <c r="F830" s="4" t="s">
        <v>2784</v>
      </c>
      <c r="G830" s="4"/>
      <c r="H830" s="4"/>
    </row>
    <row r="831" spans="1:8">
      <c r="A831" s="4">
        <v>210</v>
      </c>
      <c r="B831" s="4" t="s">
        <v>670</v>
      </c>
      <c r="C831" s="4" t="s">
        <v>1925</v>
      </c>
      <c r="D831" s="4" t="s">
        <v>671</v>
      </c>
      <c r="E831" s="4" t="s">
        <v>2785</v>
      </c>
      <c r="F831" s="4" t="s">
        <v>2786</v>
      </c>
      <c r="G831" s="4"/>
      <c r="H831" s="4"/>
    </row>
    <row r="832" spans="1:8">
      <c r="A832" s="4">
        <v>210</v>
      </c>
      <c r="B832" s="4" t="s">
        <v>670</v>
      </c>
      <c r="C832" s="4" t="s">
        <v>1930</v>
      </c>
      <c r="D832" s="4" t="s">
        <v>672</v>
      </c>
      <c r="E832" s="4" t="s">
        <v>672</v>
      </c>
      <c r="F832" s="4" t="s">
        <v>1639</v>
      </c>
      <c r="G832" s="4"/>
      <c r="H832" s="4"/>
    </row>
    <row r="833" spans="1:8" ht="27.6">
      <c r="A833" s="4">
        <v>211</v>
      </c>
      <c r="B833" s="4" t="s">
        <v>673</v>
      </c>
      <c r="C833" s="4" t="s">
        <v>1925</v>
      </c>
      <c r="D833" s="4" t="s">
        <v>674</v>
      </c>
      <c r="E833" s="4" t="s">
        <v>2787</v>
      </c>
      <c r="F833" s="4" t="s">
        <v>1640</v>
      </c>
      <c r="G833" s="4" t="s">
        <v>226</v>
      </c>
      <c r="H833" s="4" t="s">
        <v>1927</v>
      </c>
    </row>
    <row r="834" spans="1:8">
      <c r="A834" s="4">
        <v>211</v>
      </c>
      <c r="B834" s="4" t="s">
        <v>673</v>
      </c>
      <c r="C834" s="4" t="s">
        <v>1925</v>
      </c>
      <c r="D834" s="4" t="s">
        <v>674</v>
      </c>
      <c r="E834" s="4" t="s">
        <v>2788</v>
      </c>
      <c r="F834" s="4" t="s">
        <v>2789</v>
      </c>
      <c r="G834" s="4"/>
      <c r="H834" s="4"/>
    </row>
    <row r="835" spans="1:8">
      <c r="A835" s="4">
        <v>211</v>
      </c>
      <c r="B835" s="4" t="s">
        <v>673</v>
      </c>
      <c r="C835" s="4" t="s">
        <v>1925</v>
      </c>
      <c r="D835" s="4" t="s">
        <v>674</v>
      </c>
      <c r="E835" s="4" t="s">
        <v>2790</v>
      </c>
      <c r="F835" s="4" t="s">
        <v>2791</v>
      </c>
      <c r="G835" s="4"/>
      <c r="H835" s="4"/>
    </row>
    <row r="836" spans="1:8">
      <c r="A836" s="4">
        <v>211</v>
      </c>
      <c r="B836" s="4" t="s">
        <v>673</v>
      </c>
      <c r="C836" s="4" t="s">
        <v>1930</v>
      </c>
      <c r="D836" s="4" t="s">
        <v>675</v>
      </c>
      <c r="E836" s="4" t="s">
        <v>675</v>
      </c>
      <c r="F836" s="4" t="s">
        <v>1641</v>
      </c>
      <c r="G836" s="4"/>
      <c r="H836" s="4"/>
    </row>
    <row r="837" spans="1:8">
      <c r="A837" s="4">
        <v>211</v>
      </c>
      <c r="B837" s="4" t="s">
        <v>673</v>
      </c>
      <c r="C837" s="4" t="s">
        <v>1936</v>
      </c>
      <c r="D837" s="4" t="s">
        <v>267</v>
      </c>
      <c r="E837" s="4" t="s">
        <v>173</v>
      </c>
      <c r="F837" s="4" t="s">
        <v>1347</v>
      </c>
      <c r="G837" s="4"/>
      <c r="H837" s="4"/>
    </row>
    <row r="838" spans="1:8" ht="27.6">
      <c r="A838" s="4">
        <v>212</v>
      </c>
      <c r="B838" s="4" t="s">
        <v>676</v>
      </c>
      <c r="C838" s="4" t="s">
        <v>1925</v>
      </c>
      <c r="D838" s="4" t="s">
        <v>677</v>
      </c>
      <c r="E838" s="4" t="s">
        <v>2792</v>
      </c>
      <c r="F838" s="4" t="s">
        <v>1642</v>
      </c>
      <c r="G838" s="4" t="s">
        <v>211</v>
      </c>
      <c r="H838" s="4" t="s">
        <v>1927</v>
      </c>
    </row>
    <row r="839" spans="1:8">
      <c r="A839" s="4">
        <v>212</v>
      </c>
      <c r="B839" s="4" t="s">
        <v>676</v>
      </c>
      <c r="C839" s="4" t="s">
        <v>1925</v>
      </c>
      <c r="D839" s="4" t="s">
        <v>677</v>
      </c>
      <c r="E839" s="4" t="s">
        <v>2793</v>
      </c>
      <c r="F839" s="4" t="s">
        <v>2794</v>
      </c>
      <c r="G839" s="4"/>
      <c r="H839" s="4"/>
    </row>
    <row r="840" spans="1:8">
      <c r="A840" s="4">
        <v>212</v>
      </c>
      <c r="B840" s="4" t="s">
        <v>676</v>
      </c>
      <c r="C840" s="4" t="s">
        <v>1930</v>
      </c>
      <c r="D840" s="4" t="s">
        <v>678</v>
      </c>
      <c r="E840" s="4" t="s">
        <v>678</v>
      </c>
      <c r="F840" s="4" t="s">
        <v>1643</v>
      </c>
      <c r="G840" s="4"/>
      <c r="H840" s="4"/>
    </row>
    <row r="841" spans="1:8" ht="27.6">
      <c r="A841" s="4">
        <v>213</v>
      </c>
      <c r="B841" s="4" t="s">
        <v>679</v>
      </c>
      <c r="C841" s="4" t="s">
        <v>1925</v>
      </c>
      <c r="D841" s="4" t="s">
        <v>680</v>
      </c>
      <c r="E841" s="4" t="s">
        <v>2795</v>
      </c>
      <c r="F841" s="4" t="s">
        <v>1644</v>
      </c>
      <c r="G841" s="4" t="s">
        <v>211</v>
      </c>
      <c r="H841" s="4" t="s">
        <v>1927</v>
      </c>
    </row>
    <row r="842" spans="1:8">
      <c r="A842" s="4">
        <v>213</v>
      </c>
      <c r="B842" s="4" t="s">
        <v>679</v>
      </c>
      <c r="C842" s="4" t="s">
        <v>1925</v>
      </c>
      <c r="D842" s="4" t="s">
        <v>680</v>
      </c>
      <c r="E842" s="4" t="s">
        <v>2796</v>
      </c>
      <c r="F842" s="4" t="s">
        <v>2797</v>
      </c>
      <c r="G842" s="4"/>
      <c r="H842" s="4"/>
    </row>
    <row r="843" spans="1:8">
      <c r="A843" s="4">
        <v>213</v>
      </c>
      <c r="B843" s="4" t="s">
        <v>679</v>
      </c>
      <c r="C843" s="4" t="s">
        <v>1925</v>
      </c>
      <c r="D843" s="4" t="s">
        <v>680</v>
      </c>
      <c r="E843" s="4" t="s">
        <v>2798</v>
      </c>
      <c r="F843" s="4" t="s">
        <v>2799</v>
      </c>
      <c r="G843" s="4"/>
      <c r="H843" s="4"/>
    </row>
    <row r="844" spans="1:8">
      <c r="A844" s="4">
        <v>213</v>
      </c>
      <c r="B844" s="4" t="s">
        <v>679</v>
      </c>
      <c r="C844" s="4" t="s">
        <v>1930</v>
      </c>
      <c r="D844" s="4" t="s">
        <v>681</v>
      </c>
      <c r="E844" s="4" t="s">
        <v>681</v>
      </c>
      <c r="F844" s="4" t="s">
        <v>1645</v>
      </c>
      <c r="G844" s="4"/>
      <c r="H844" s="4"/>
    </row>
    <row r="845" spans="1:8">
      <c r="A845" s="4">
        <v>213</v>
      </c>
      <c r="B845" s="4" t="s">
        <v>679</v>
      </c>
      <c r="C845" s="4" t="s">
        <v>1936</v>
      </c>
      <c r="D845" s="4" t="s">
        <v>342</v>
      </c>
      <c r="E845" s="4" t="s">
        <v>1068</v>
      </c>
      <c r="F845" s="4" t="s">
        <v>1444</v>
      </c>
      <c r="G845" s="4"/>
      <c r="H845" s="4"/>
    </row>
    <row r="846" spans="1:8" ht="27.6">
      <c r="A846" s="4">
        <v>214</v>
      </c>
      <c r="B846" s="4" t="s">
        <v>682</v>
      </c>
      <c r="C846" s="4" t="s">
        <v>1925</v>
      </c>
      <c r="D846" s="4" t="s">
        <v>683</v>
      </c>
      <c r="E846" s="4" t="s">
        <v>2800</v>
      </c>
      <c r="F846" s="4" t="s">
        <v>1646</v>
      </c>
      <c r="G846" s="4" t="s">
        <v>211</v>
      </c>
      <c r="H846" s="4" t="s">
        <v>1927</v>
      </c>
    </row>
    <row r="847" spans="1:8">
      <c r="A847" s="4">
        <v>214</v>
      </c>
      <c r="B847" s="4" t="s">
        <v>682</v>
      </c>
      <c r="C847" s="4" t="s">
        <v>1925</v>
      </c>
      <c r="D847" s="4" t="s">
        <v>683</v>
      </c>
      <c r="E847" s="4" t="s">
        <v>2801</v>
      </c>
      <c r="F847" s="4" t="s">
        <v>2802</v>
      </c>
      <c r="G847" s="4"/>
      <c r="H847" s="4"/>
    </row>
    <row r="848" spans="1:8">
      <c r="A848" s="4">
        <v>214</v>
      </c>
      <c r="B848" s="4" t="s">
        <v>682</v>
      </c>
      <c r="C848" s="4" t="s">
        <v>1930</v>
      </c>
      <c r="D848" s="4" t="s">
        <v>684</v>
      </c>
      <c r="E848" s="4" t="s">
        <v>684</v>
      </c>
      <c r="F848" s="4" t="s">
        <v>1647</v>
      </c>
      <c r="G848" s="4"/>
      <c r="H848" s="4"/>
    </row>
    <row r="849" spans="1:8">
      <c r="A849" s="4">
        <v>214</v>
      </c>
      <c r="B849" s="4" t="s">
        <v>682</v>
      </c>
      <c r="C849" s="4" t="s">
        <v>1936</v>
      </c>
      <c r="D849" s="4" t="s">
        <v>342</v>
      </c>
      <c r="E849" s="4" t="s">
        <v>1068</v>
      </c>
      <c r="F849" s="4" t="s">
        <v>1444</v>
      </c>
      <c r="G849" s="4"/>
      <c r="H849" s="4"/>
    </row>
    <row r="850" spans="1:8" ht="27.6">
      <c r="A850" s="4">
        <v>215</v>
      </c>
      <c r="B850" s="4" t="s">
        <v>685</v>
      </c>
      <c r="C850" s="4" t="s">
        <v>1925</v>
      </c>
      <c r="D850" s="4" t="s">
        <v>686</v>
      </c>
      <c r="E850" s="4" t="s">
        <v>2803</v>
      </c>
      <c r="F850" s="4" t="s">
        <v>1648</v>
      </c>
      <c r="G850" s="4" t="s">
        <v>211</v>
      </c>
      <c r="H850" s="4" t="s">
        <v>1927</v>
      </c>
    </row>
    <row r="851" spans="1:8">
      <c r="A851" s="4">
        <v>215</v>
      </c>
      <c r="B851" s="4" t="s">
        <v>685</v>
      </c>
      <c r="C851" s="4" t="s">
        <v>1925</v>
      </c>
      <c r="D851" s="4" t="s">
        <v>686</v>
      </c>
      <c r="E851" s="4" t="s">
        <v>2804</v>
      </c>
      <c r="F851" s="4" t="s">
        <v>2805</v>
      </c>
      <c r="G851" s="4"/>
      <c r="H851" s="4"/>
    </row>
    <row r="852" spans="1:8">
      <c r="A852" s="4">
        <v>215</v>
      </c>
      <c r="B852" s="4" t="s">
        <v>685</v>
      </c>
      <c r="C852" s="4" t="s">
        <v>1925</v>
      </c>
      <c r="D852" s="4" t="s">
        <v>686</v>
      </c>
      <c r="E852" s="4" t="s">
        <v>2806</v>
      </c>
      <c r="F852" s="4" t="s">
        <v>2807</v>
      </c>
      <c r="G852" s="4"/>
      <c r="H852" s="4"/>
    </row>
    <row r="853" spans="1:8">
      <c r="A853" s="4">
        <v>215</v>
      </c>
      <c r="B853" s="4" t="s">
        <v>685</v>
      </c>
      <c r="C853" s="4" t="s">
        <v>1930</v>
      </c>
      <c r="D853" s="4" t="s">
        <v>687</v>
      </c>
      <c r="E853" s="4" t="s">
        <v>687</v>
      </c>
      <c r="F853" s="4" t="s">
        <v>1649</v>
      </c>
      <c r="G853" s="4"/>
      <c r="H853" s="4"/>
    </row>
    <row r="854" spans="1:8">
      <c r="A854" s="4">
        <v>215</v>
      </c>
      <c r="B854" s="4" t="s">
        <v>685</v>
      </c>
      <c r="C854" s="4" t="s">
        <v>1936</v>
      </c>
      <c r="D854" s="4" t="s">
        <v>342</v>
      </c>
      <c r="E854" s="4" t="s">
        <v>1068</v>
      </c>
      <c r="F854" s="4" t="s">
        <v>1444</v>
      </c>
      <c r="G854" s="4"/>
      <c r="H854" s="4"/>
    </row>
    <row r="855" spans="1:8" ht="27.6">
      <c r="A855" s="4">
        <v>216</v>
      </c>
      <c r="B855" s="4" t="s">
        <v>688</v>
      </c>
      <c r="C855" s="4" t="s">
        <v>1925</v>
      </c>
      <c r="D855" s="4" t="s">
        <v>689</v>
      </c>
      <c r="E855" s="4" t="s">
        <v>2808</v>
      </c>
      <c r="F855" s="4" t="s">
        <v>1650</v>
      </c>
      <c r="G855" s="4" t="s">
        <v>211</v>
      </c>
      <c r="H855" s="4" t="s">
        <v>1927</v>
      </c>
    </row>
    <row r="856" spans="1:8">
      <c r="A856" s="4">
        <v>216</v>
      </c>
      <c r="B856" s="4" t="s">
        <v>688</v>
      </c>
      <c r="C856" s="4" t="s">
        <v>1925</v>
      </c>
      <c r="D856" s="4" t="s">
        <v>689</v>
      </c>
      <c r="E856" s="4" t="s">
        <v>2809</v>
      </c>
      <c r="F856" s="4" t="s">
        <v>2810</v>
      </c>
      <c r="G856" s="4"/>
      <c r="H856" s="4"/>
    </row>
    <row r="857" spans="1:8">
      <c r="A857" s="4">
        <v>216</v>
      </c>
      <c r="B857" s="4" t="s">
        <v>688</v>
      </c>
      <c r="C857" s="4" t="s">
        <v>1930</v>
      </c>
      <c r="D857" s="4" t="s">
        <v>690</v>
      </c>
      <c r="E857" s="4" t="s">
        <v>690</v>
      </c>
      <c r="F857" s="4" t="s">
        <v>1651</v>
      </c>
      <c r="G857" s="4"/>
      <c r="H857" s="4"/>
    </row>
    <row r="858" spans="1:8">
      <c r="A858" s="4">
        <v>216</v>
      </c>
      <c r="B858" s="4" t="s">
        <v>688</v>
      </c>
      <c r="C858" s="4" t="s">
        <v>1936</v>
      </c>
      <c r="D858" s="4" t="s">
        <v>342</v>
      </c>
      <c r="E858" s="4" t="s">
        <v>1068</v>
      </c>
      <c r="F858" s="4" t="s">
        <v>1444</v>
      </c>
      <c r="G858" s="4"/>
      <c r="H858" s="4"/>
    </row>
    <row r="859" spans="1:8" ht="27.6">
      <c r="A859" s="4">
        <v>217</v>
      </c>
      <c r="B859" s="4" t="s">
        <v>691</v>
      </c>
      <c r="C859" s="4" t="s">
        <v>1925</v>
      </c>
      <c r="D859" s="4" t="s">
        <v>692</v>
      </c>
      <c r="E859" s="4" t="s">
        <v>2811</v>
      </c>
      <c r="F859" s="4" t="s">
        <v>1652</v>
      </c>
      <c r="G859" s="4" t="s">
        <v>211</v>
      </c>
      <c r="H859" s="4" t="s">
        <v>1927</v>
      </c>
    </row>
    <row r="860" spans="1:8">
      <c r="A860" s="4">
        <v>217</v>
      </c>
      <c r="B860" s="4" t="s">
        <v>691</v>
      </c>
      <c r="C860" s="4" t="s">
        <v>1925</v>
      </c>
      <c r="D860" s="4" t="s">
        <v>692</v>
      </c>
      <c r="E860" s="4" t="s">
        <v>2812</v>
      </c>
      <c r="F860" s="4" t="s">
        <v>2813</v>
      </c>
      <c r="G860" s="4"/>
      <c r="H860" s="4"/>
    </row>
    <row r="861" spans="1:8">
      <c r="A861" s="4">
        <v>217</v>
      </c>
      <c r="B861" s="4" t="s">
        <v>691</v>
      </c>
      <c r="C861" s="4" t="s">
        <v>1925</v>
      </c>
      <c r="D861" s="4" t="s">
        <v>692</v>
      </c>
      <c r="E861" s="4" t="s">
        <v>2814</v>
      </c>
      <c r="F861" s="4" t="s">
        <v>2815</v>
      </c>
      <c r="G861" s="4"/>
      <c r="H861" s="4"/>
    </row>
    <row r="862" spans="1:8">
      <c r="A862" s="4">
        <v>217</v>
      </c>
      <c r="B862" s="4" t="s">
        <v>691</v>
      </c>
      <c r="C862" s="4" t="s">
        <v>1930</v>
      </c>
      <c r="D862" s="4" t="s">
        <v>693</v>
      </c>
      <c r="E862" s="4" t="s">
        <v>693</v>
      </c>
      <c r="F862" s="4" t="s">
        <v>1653</v>
      </c>
      <c r="G862" s="4"/>
      <c r="H862" s="4"/>
    </row>
    <row r="863" spans="1:8" ht="27.6">
      <c r="A863" s="4">
        <v>218</v>
      </c>
      <c r="B863" s="4" t="s">
        <v>694</v>
      </c>
      <c r="C863" s="4" t="s">
        <v>1925</v>
      </c>
      <c r="D863" s="4" t="s">
        <v>695</v>
      </c>
      <c r="E863" s="4" t="s">
        <v>2816</v>
      </c>
      <c r="F863" s="4" t="s">
        <v>1654</v>
      </c>
      <c r="G863" s="4" t="s">
        <v>34</v>
      </c>
      <c r="H863" s="4" t="s">
        <v>1927</v>
      </c>
    </row>
    <row r="864" spans="1:8">
      <c r="A864" s="4">
        <v>218</v>
      </c>
      <c r="B864" s="4" t="s">
        <v>694</v>
      </c>
      <c r="C864" s="4" t="s">
        <v>1925</v>
      </c>
      <c r="D864" s="4" t="s">
        <v>695</v>
      </c>
      <c r="E864" s="4" t="s">
        <v>2817</v>
      </c>
      <c r="F864" s="4" t="s">
        <v>2818</v>
      </c>
      <c r="G864" s="4"/>
      <c r="H864" s="4"/>
    </row>
    <row r="865" spans="1:8">
      <c r="A865" s="4">
        <v>218</v>
      </c>
      <c r="B865" s="4" t="s">
        <v>694</v>
      </c>
      <c r="C865" s="4" t="s">
        <v>1930</v>
      </c>
      <c r="D865" s="4" t="s">
        <v>33</v>
      </c>
      <c r="E865" s="4" t="s">
        <v>170</v>
      </c>
      <c r="F865" s="4" t="s">
        <v>1275</v>
      </c>
      <c r="G865" s="4"/>
      <c r="H865" s="4"/>
    </row>
    <row r="866" spans="1:8" ht="27.6">
      <c r="A866" s="4">
        <v>219</v>
      </c>
      <c r="B866" s="4" t="s">
        <v>696</v>
      </c>
      <c r="C866" s="4" t="s">
        <v>1925</v>
      </c>
      <c r="D866" s="4" t="s">
        <v>697</v>
      </c>
      <c r="E866" s="4" t="s">
        <v>2819</v>
      </c>
      <c r="F866" s="4" t="s">
        <v>1655</v>
      </c>
      <c r="G866" s="4" t="s">
        <v>34</v>
      </c>
      <c r="H866" s="4" t="s">
        <v>1927</v>
      </c>
    </row>
    <row r="867" spans="1:8">
      <c r="A867" s="4">
        <v>219</v>
      </c>
      <c r="B867" s="4" t="s">
        <v>696</v>
      </c>
      <c r="C867" s="4" t="s">
        <v>1925</v>
      </c>
      <c r="D867" s="4" t="s">
        <v>697</v>
      </c>
      <c r="E867" s="4" t="s">
        <v>2820</v>
      </c>
      <c r="F867" s="4" t="s">
        <v>2821</v>
      </c>
      <c r="G867" s="4"/>
      <c r="H867" s="4"/>
    </row>
    <row r="868" spans="1:8">
      <c r="A868" s="4">
        <v>219</v>
      </c>
      <c r="B868" s="4" t="s">
        <v>696</v>
      </c>
      <c r="C868" s="4" t="s">
        <v>1925</v>
      </c>
      <c r="D868" s="4" t="s">
        <v>697</v>
      </c>
      <c r="E868" s="4" t="s">
        <v>2822</v>
      </c>
      <c r="F868" s="4" t="s">
        <v>2823</v>
      </c>
      <c r="G868" s="4"/>
      <c r="H868" s="4"/>
    </row>
    <row r="869" spans="1:8">
      <c r="A869" s="4">
        <v>219</v>
      </c>
      <c r="B869" s="4" t="s">
        <v>696</v>
      </c>
      <c r="C869" s="4" t="s">
        <v>1930</v>
      </c>
      <c r="D869" s="4" t="s">
        <v>33</v>
      </c>
      <c r="E869" s="4" t="s">
        <v>170</v>
      </c>
      <c r="F869" s="4" t="s">
        <v>1275</v>
      </c>
      <c r="G869" s="4"/>
      <c r="H869" s="4"/>
    </row>
    <row r="870" spans="1:8" ht="27.6">
      <c r="A870" s="4">
        <v>220</v>
      </c>
      <c r="B870" s="4" t="s">
        <v>698</v>
      </c>
      <c r="C870" s="4" t="s">
        <v>1925</v>
      </c>
      <c r="D870" s="4" t="s">
        <v>699</v>
      </c>
      <c r="E870" s="4" t="s">
        <v>2824</v>
      </c>
      <c r="F870" s="4" t="s">
        <v>1656</v>
      </c>
      <c r="G870" s="4" t="s">
        <v>34</v>
      </c>
      <c r="H870" s="4" t="s">
        <v>1927</v>
      </c>
    </row>
    <row r="871" spans="1:8">
      <c r="A871" s="4">
        <v>220</v>
      </c>
      <c r="B871" s="4" t="s">
        <v>698</v>
      </c>
      <c r="C871" s="4" t="s">
        <v>1925</v>
      </c>
      <c r="D871" s="4" t="s">
        <v>699</v>
      </c>
      <c r="E871" s="4" t="s">
        <v>2825</v>
      </c>
      <c r="F871" s="4" t="s">
        <v>2826</v>
      </c>
      <c r="G871" s="4"/>
      <c r="H871" s="4"/>
    </row>
    <row r="872" spans="1:8">
      <c r="A872" s="4">
        <v>220</v>
      </c>
      <c r="B872" s="4" t="s">
        <v>698</v>
      </c>
      <c r="C872" s="4" t="s">
        <v>1930</v>
      </c>
      <c r="D872" s="4" t="s">
        <v>33</v>
      </c>
      <c r="E872" s="4" t="s">
        <v>170</v>
      </c>
      <c r="F872" s="4" t="s">
        <v>1275</v>
      </c>
      <c r="G872" s="4"/>
      <c r="H872" s="4"/>
    </row>
    <row r="873" spans="1:8" ht="27.6">
      <c r="A873" s="4">
        <v>221</v>
      </c>
      <c r="B873" s="4" t="s">
        <v>700</v>
      </c>
      <c r="C873" s="4" t="s">
        <v>1925</v>
      </c>
      <c r="D873" s="4" t="s">
        <v>701</v>
      </c>
      <c r="E873" s="4" t="s">
        <v>2827</v>
      </c>
      <c r="F873" s="4" t="s">
        <v>1657</v>
      </c>
      <c r="G873" s="4" t="s">
        <v>34</v>
      </c>
      <c r="H873" s="4" t="s">
        <v>1927</v>
      </c>
    </row>
    <row r="874" spans="1:8">
      <c r="A874" s="4">
        <v>221</v>
      </c>
      <c r="B874" s="4" t="s">
        <v>700</v>
      </c>
      <c r="C874" s="4" t="s">
        <v>1925</v>
      </c>
      <c r="D874" s="4" t="s">
        <v>701</v>
      </c>
      <c r="E874" s="4" t="s">
        <v>2828</v>
      </c>
      <c r="F874" s="4" t="s">
        <v>2829</v>
      </c>
      <c r="G874" s="4"/>
      <c r="H874" s="4"/>
    </row>
    <row r="875" spans="1:8">
      <c r="A875" s="4">
        <v>221</v>
      </c>
      <c r="B875" s="4" t="s">
        <v>700</v>
      </c>
      <c r="C875" s="4" t="s">
        <v>1925</v>
      </c>
      <c r="D875" s="4" t="s">
        <v>701</v>
      </c>
      <c r="E875" s="4" t="s">
        <v>2830</v>
      </c>
      <c r="F875" s="4" t="s">
        <v>2831</v>
      </c>
      <c r="G875" s="4"/>
      <c r="H875" s="4"/>
    </row>
    <row r="876" spans="1:8">
      <c r="A876" s="4">
        <v>221</v>
      </c>
      <c r="B876" s="4" t="s">
        <v>700</v>
      </c>
      <c r="C876" s="4" t="s">
        <v>1930</v>
      </c>
      <c r="D876" s="4" t="s">
        <v>33</v>
      </c>
      <c r="E876" s="4" t="s">
        <v>170</v>
      </c>
      <c r="F876" s="4" t="s">
        <v>1275</v>
      </c>
      <c r="G876" s="4"/>
      <c r="H876" s="4"/>
    </row>
    <row r="877" spans="1:8" ht="27.6">
      <c r="A877" s="4">
        <v>222</v>
      </c>
      <c r="B877" s="4" t="s">
        <v>702</v>
      </c>
      <c r="C877" s="4" t="s">
        <v>1925</v>
      </c>
      <c r="D877" s="4" t="s">
        <v>703</v>
      </c>
      <c r="E877" s="4" t="s">
        <v>2832</v>
      </c>
      <c r="F877" s="4" t="s">
        <v>1658</v>
      </c>
      <c r="G877" s="4" t="s">
        <v>34</v>
      </c>
      <c r="H877" s="4" t="s">
        <v>1927</v>
      </c>
    </row>
    <row r="878" spans="1:8">
      <c r="A878" s="4">
        <v>222</v>
      </c>
      <c r="B878" s="4" t="s">
        <v>702</v>
      </c>
      <c r="C878" s="4" t="s">
        <v>1925</v>
      </c>
      <c r="D878" s="4" t="s">
        <v>703</v>
      </c>
      <c r="E878" s="4" t="s">
        <v>2833</v>
      </c>
      <c r="F878" s="4" t="s">
        <v>2834</v>
      </c>
      <c r="G878" s="4"/>
      <c r="H878" s="4"/>
    </row>
    <row r="879" spans="1:8">
      <c r="A879" s="4">
        <v>222</v>
      </c>
      <c r="B879" s="4" t="s">
        <v>702</v>
      </c>
      <c r="C879" s="4" t="s">
        <v>1925</v>
      </c>
      <c r="D879" s="4" t="s">
        <v>703</v>
      </c>
      <c r="E879" s="4" t="s">
        <v>2835</v>
      </c>
      <c r="F879" s="4" t="s">
        <v>2836</v>
      </c>
      <c r="G879" s="4"/>
      <c r="H879" s="4"/>
    </row>
    <row r="880" spans="1:8">
      <c r="A880" s="4">
        <v>222</v>
      </c>
      <c r="B880" s="4" t="s">
        <v>702</v>
      </c>
      <c r="C880" s="4" t="s">
        <v>1930</v>
      </c>
      <c r="D880" s="4" t="s">
        <v>33</v>
      </c>
      <c r="E880" s="4" t="s">
        <v>170</v>
      </c>
      <c r="F880" s="4" t="s">
        <v>1275</v>
      </c>
      <c r="G880" s="4"/>
      <c r="H880" s="4"/>
    </row>
    <row r="881" spans="1:8" ht="27.6">
      <c r="A881" s="4">
        <v>223</v>
      </c>
      <c r="B881" s="4" t="s">
        <v>704</v>
      </c>
      <c r="C881" s="4" t="s">
        <v>1925</v>
      </c>
      <c r="D881" s="4" t="s">
        <v>705</v>
      </c>
      <c r="E881" s="4" t="s">
        <v>2837</v>
      </c>
      <c r="F881" s="4" t="s">
        <v>1659</v>
      </c>
      <c r="G881" s="4" t="s">
        <v>34</v>
      </c>
      <c r="H881" s="4" t="s">
        <v>1927</v>
      </c>
    </row>
    <row r="882" spans="1:8">
      <c r="A882" s="4">
        <v>223</v>
      </c>
      <c r="B882" s="4" t="s">
        <v>704</v>
      </c>
      <c r="C882" s="4" t="s">
        <v>1925</v>
      </c>
      <c r="D882" s="4" t="s">
        <v>705</v>
      </c>
      <c r="E882" s="4" t="s">
        <v>2838</v>
      </c>
      <c r="F882" s="4" t="s">
        <v>2839</v>
      </c>
      <c r="G882" s="4"/>
      <c r="H882" s="4"/>
    </row>
    <row r="883" spans="1:8">
      <c r="A883" s="4">
        <v>223</v>
      </c>
      <c r="B883" s="4" t="s">
        <v>704</v>
      </c>
      <c r="C883" s="4" t="s">
        <v>1930</v>
      </c>
      <c r="D883" s="4" t="s">
        <v>706</v>
      </c>
      <c r="E883" s="4" t="s">
        <v>706</v>
      </c>
      <c r="F883" s="4" t="s">
        <v>1660</v>
      </c>
      <c r="G883" s="4"/>
      <c r="H883" s="4"/>
    </row>
    <row r="884" spans="1:8" ht="27.6">
      <c r="A884" s="4">
        <v>224</v>
      </c>
      <c r="B884" s="4" t="s">
        <v>707</v>
      </c>
      <c r="C884" s="4" t="s">
        <v>1925</v>
      </c>
      <c r="D884" s="4" t="s">
        <v>708</v>
      </c>
      <c r="E884" s="4" t="s">
        <v>2840</v>
      </c>
      <c r="F884" s="4" t="s">
        <v>1661</v>
      </c>
      <c r="G884" s="4" t="s">
        <v>121</v>
      </c>
      <c r="H884" s="4" t="s">
        <v>1927</v>
      </c>
    </row>
    <row r="885" spans="1:8">
      <c r="A885" s="4">
        <v>224</v>
      </c>
      <c r="B885" s="4" t="s">
        <v>707</v>
      </c>
      <c r="C885" s="4" t="s">
        <v>1925</v>
      </c>
      <c r="D885" s="4" t="s">
        <v>708</v>
      </c>
      <c r="E885" s="4" t="s">
        <v>2841</v>
      </c>
      <c r="F885" s="4" t="s">
        <v>2842</v>
      </c>
      <c r="G885" s="4"/>
      <c r="H885" s="4"/>
    </row>
    <row r="886" spans="1:8">
      <c r="A886" s="4">
        <v>224</v>
      </c>
      <c r="B886" s="4" t="s">
        <v>707</v>
      </c>
      <c r="C886" s="4" t="s">
        <v>1925</v>
      </c>
      <c r="D886" s="4" t="s">
        <v>708</v>
      </c>
      <c r="E886" s="4" t="s">
        <v>2843</v>
      </c>
      <c r="F886" s="4" t="s">
        <v>2844</v>
      </c>
      <c r="G886" s="4"/>
      <c r="H886" s="4"/>
    </row>
    <row r="887" spans="1:8">
      <c r="A887" s="4">
        <v>224</v>
      </c>
      <c r="B887" s="4" t="s">
        <v>707</v>
      </c>
      <c r="C887" s="4" t="s">
        <v>1930</v>
      </c>
      <c r="D887" s="4" t="s">
        <v>709</v>
      </c>
      <c r="E887" s="4" t="s">
        <v>709</v>
      </c>
      <c r="F887" s="4" t="s">
        <v>1662</v>
      </c>
      <c r="G887" s="4"/>
      <c r="H887" s="4"/>
    </row>
    <row r="888" spans="1:8" ht="27.6">
      <c r="A888" s="4">
        <v>225</v>
      </c>
      <c r="B888" s="4" t="s">
        <v>710</v>
      </c>
      <c r="C888" s="4" t="s">
        <v>1925</v>
      </c>
      <c r="D888" s="4" t="s">
        <v>711</v>
      </c>
      <c r="E888" s="4" t="s">
        <v>2845</v>
      </c>
      <c r="F888" s="4" t="s">
        <v>1663</v>
      </c>
      <c r="G888" s="4" t="s">
        <v>121</v>
      </c>
      <c r="H888" s="4" t="s">
        <v>1927</v>
      </c>
    </row>
    <row r="889" spans="1:8">
      <c r="A889" s="4">
        <v>225</v>
      </c>
      <c r="B889" s="4" t="s">
        <v>710</v>
      </c>
      <c r="C889" s="4" t="s">
        <v>1925</v>
      </c>
      <c r="D889" s="4" t="s">
        <v>711</v>
      </c>
      <c r="E889" s="4" t="s">
        <v>2846</v>
      </c>
      <c r="F889" s="4" t="s">
        <v>2847</v>
      </c>
      <c r="G889" s="4"/>
      <c r="H889" s="4"/>
    </row>
    <row r="890" spans="1:8">
      <c r="A890" s="4">
        <v>225</v>
      </c>
      <c r="B890" s="4" t="s">
        <v>710</v>
      </c>
      <c r="C890" s="4" t="s">
        <v>1930</v>
      </c>
      <c r="D890" s="4" t="s">
        <v>120</v>
      </c>
      <c r="E890" s="4" t="s">
        <v>303</v>
      </c>
      <c r="F890" s="4" t="s">
        <v>1322</v>
      </c>
      <c r="G890" s="4"/>
      <c r="H890" s="4"/>
    </row>
    <row r="891" spans="1:8" ht="27.6">
      <c r="A891" s="4">
        <v>226</v>
      </c>
      <c r="B891" s="4" t="s">
        <v>712</v>
      </c>
      <c r="C891" s="4" t="s">
        <v>1925</v>
      </c>
      <c r="D891" s="4" t="s">
        <v>713</v>
      </c>
      <c r="E891" s="4" t="s">
        <v>2848</v>
      </c>
      <c r="F891" s="4" t="s">
        <v>1664</v>
      </c>
      <c r="G891" s="4" t="s">
        <v>121</v>
      </c>
      <c r="H891" s="4" t="s">
        <v>1927</v>
      </c>
    </row>
    <row r="892" spans="1:8">
      <c r="A892" s="4">
        <v>226</v>
      </c>
      <c r="B892" s="4" t="s">
        <v>712</v>
      </c>
      <c r="C892" s="4" t="s">
        <v>1925</v>
      </c>
      <c r="D892" s="4" t="s">
        <v>713</v>
      </c>
      <c r="E892" s="4" t="s">
        <v>2849</v>
      </c>
      <c r="F892" s="4" t="s">
        <v>2850</v>
      </c>
      <c r="G892" s="4"/>
      <c r="H892" s="4"/>
    </row>
    <row r="893" spans="1:8">
      <c r="A893" s="4">
        <v>226</v>
      </c>
      <c r="B893" s="4" t="s">
        <v>712</v>
      </c>
      <c r="C893" s="4" t="s">
        <v>1925</v>
      </c>
      <c r="D893" s="4" t="s">
        <v>713</v>
      </c>
      <c r="E893" s="4" t="s">
        <v>2851</v>
      </c>
      <c r="F893" s="4" t="s">
        <v>2852</v>
      </c>
      <c r="G893" s="4"/>
      <c r="H893" s="4"/>
    </row>
    <row r="894" spans="1:8">
      <c r="A894" s="4">
        <v>226</v>
      </c>
      <c r="B894" s="4" t="s">
        <v>712</v>
      </c>
      <c r="C894" s="4" t="s">
        <v>1930</v>
      </c>
      <c r="D894" s="4" t="s">
        <v>120</v>
      </c>
      <c r="E894" s="4" t="s">
        <v>303</v>
      </c>
      <c r="F894" s="4" t="s">
        <v>1322</v>
      </c>
      <c r="G894" s="4"/>
      <c r="H894" s="4"/>
    </row>
    <row r="895" spans="1:8" ht="27.6">
      <c r="A895" s="4">
        <v>227</v>
      </c>
      <c r="B895" s="4" t="s">
        <v>714</v>
      </c>
      <c r="C895" s="4" t="s">
        <v>1925</v>
      </c>
      <c r="D895" s="4" t="s">
        <v>715</v>
      </c>
      <c r="E895" s="4" t="s">
        <v>2853</v>
      </c>
      <c r="F895" s="4" t="s">
        <v>1665</v>
      </c>
      <c r="G895" s="4" t="s">
        <v>121</v>
      </c>
      <c r="H895" s="4" t="s">
        <v>1927</v>
      </c>
    </row>
    <row r="896" spans="1:8">
      <c r="A896" s="4">
        <v>227</v>
      </c>
      <c r="B896" s="4" t="s">
        <v>714</v>
      </c>
      <c r="C896" s="4" t="s">
        <v>1925</v>
      </c>
      <c r="D896" s="4" t="s">
        <v>715</v>
      </c>
      <c r="E896" s="4" t="s">
        <v>2854</v>
      </c>
      <c r="F896" s="4" t="s">
        <v>2855</v>
      </c>
      <c r="G896" s="4"/>
      <c r="H896" s="4"/>
    </row>
    <row r="897" spans="1:8">
      <c r="A897" s="4">
        <v>227</v>
      </c>
      <c r="B897" s="4" t="s">
        <v>714</v>
      </c>
      <c r="C897" s="4" t="s">
        <v>1930</v>
      </c>
      <c r="D897" s="4" t="s">
        <v>120</v>
      </c>
      <c r="E897" s="4" t="s">
        <v>303</v>
      </c>
      <c r="F897" s="4" t="s">
        <v>1322</v>
      </c>
      <c r="G897" s="4"/>
      <c r="H897" s="4"/>
    </row>
    <row r="898" spans="1:8" ht="27.6">
      <c r="A898" s="4">
        <v>228</v>
      </c>
      <c r="B898" s="4" t="s">
        <v>716</v>
      </c>
      <c r="C898" s="4" t="s">
        <v>1925</v>
      </c>
      <c r="D898" s="4" t="s">
        <v>717</v>
      </c>
      <c r="E898" s="4" t="s">
        <v>2856</v>
      </c>
      <c r="F898" s="4" t="s">
        <v>1666</v>
      </c>
      <c r="G898" s="4" t="s">
        <v>121</v>
      </c>
      <c r="H898" s="4" t="s">
        <v>1927</v>
      </c>
    </row>
    <row r="899" spans="1:8">
      <c r="A899" s="4">
        <v>228</v>
      </c>
      <c r="B899" s="4" t="s">
        <v>716</v>
      </c>
      <c r="C899" s="4" t="s">
        <v>1925</v>
      </c>
      <c r="D899" s="4" t="s">
        <v>717</v>
      </c>
      <c r="E899" s="4" t="s">
        <v>2857</v>
      </c>
      <c r="F899" s="4" t="s">
        <v>2858</v>
      </c>
      <c r="G899" s="4"/>
      <c r="H899" s="4"/>
    </row>
    <row r="900" spans="1:8">
      <c r="A900" s="4">
        <v>228</v>
      </c>
      <c r="B900" s="4" t="s">
        <v>716</v>
      </c>
      <c r="C900" s="4" t="s">
        <v>1925</v>
      </c>
      <c r="D900" s="4" t="s">
        <v>717</v>
      </c>
      <c r="E900" s="4" t="s">
        <v>2859</v>
      </c>
      <c r="F900" s="4" t="s">
        <v>2860</v>
      </c>
      <c r="G900" s="4"/>
      <c r="H900" s="4"/>
    </row>
    <row r="901" spans="1:8">
      <c r="A901" s="4">
        <v>228</v>
      </c>
      <c r="B901" s="4" t="s">
        <v>716</v>
      </c>
      <c r="C901" s="4" t="s">
        <v>1930</v>
      </c>
      <c r="D901" s="4" t="s">
        <v>120</v>
      </c>
      <c r="E901" s="4" t="s">
        <v>303</v>
      </c>
      <c r="F901" s="4" t="s">
        <v>1322</v>
      </c>
      <c r="G901" s="4"/>
      <c r="H901" s="4"/>
    </row>
    <row r="902" spans="1:8" ht="27.6">
      <c r="A902" s="4">
        <v>229</v>
      </c>
      <c r="B902" s="4" t="s">
        <v>718</v>
      </c>
      <c r="C902" s="4" t="s">
        <v>1925</v>
      </c>
      <c r="D902" s="4" t="s">
        <v>719</v>
      </c>
      <c r="E902" s="4" t="s">
        <v>2861</v>
      </c>
      <c r="F902" s="4" t="s">
        <v>1667</v>
      </c>
      <c r="G902" s="4" t="s">
        <v>121</v>
      </c>
      <c r="H902" s="4" t="s">
        <v>1927</v>
      </c>
    </row>
    <row r="903" spans="1:8">
      <c r="A903" s="4">
        <v>229</v>
      </c>
      <c r="B903" s="4" t="s">
        <v>718</v>
      </c>
      <c r="C903" s="4" t="s">
        <v>1925</v>
      </c>
      <c r="D903" s="4" t="s">
        <v>719</v>
      </c>
      <c r="E903" s="4" t="s">
        <v>2862</v>
      </c>
      <c r="F903" s="4" t="s">
        <v>2863</v>
      </c>
      <c r="G903" s="4"/>
      <c r="H903" s="4"/>
    </row>
    <row r="904" spans="1:8">
      <c r="A904" s="4">
        <v>229</v>
      </c>
      <c r="B904" s="4" t="s">
        <v>718</v>
      </c>
      <c r="C904" s="4" t="s">
        <v>1930</v>
      </c>
      <c r="D904" s="4" t="s">
        <v>120</v>
      </c>
      <c r="E904" s="4" t="s">
        <v>303</v>
      </c>
      <c r="F904" s="4" t="s">
        <v>1322</v>
      </c>
      <c r="G904" s="4"/>
      <c r="H904" s="4"/>
    </row>
    <row r="905" spans="1:8" ht="27.6">
      <c r="A905" s="4">
        <v>230</v>
      </c>
      <c r="B905" s="4" t="s">
        <v>720</v>
      </c>
      <c r="C905" s="4" t="s">
        <v>1925</v>
      </c>
      <c r="D905" s="4" t="s">
        <v>721</v>
      </c>
      <c r="E905" s="4" t="s">
        <v>2864</v>
      </c>
      <c r="F905" s="4" t="s">
        <v>1668</v>
      </c>
      <c r="G905" s="4" t="s">
        <v>211</v>
      </c>
      <c r="H905" s="4" t="s">
        <v>1927</v>
      </c>
    </row>
    <row r="906" spans="1:8">
      <c r="A906" s="4">
        <v>230</v>
      </c>
      <c r="B906" s="4" t="s">
        <v>720</v>
      </c>
      <c r="C906" s="4" t="s">
        <v>1925</v>
      </c>
      <c r="D906" s="4" t="s">
        <v>721</v>
      </c>
      <c r="E906" s="4" t="s">
        <v>2865</v>
      </c>
      <c r="F906" s="4" t="s">
        <v>2866</v>
      </c>
      <c r="G906" s="4"/>
      <c r="H906" s="4"/>
    </row>
    <row r="907" spans="1:8">
      <c r="A907" s="4">
        <v>230</v>
      </c>
      <c r="B907" s="4" t="s">
        <v>720</v>
      </c>
      <c r="C907" s="4" t="s">
        <v>1925</v>
      </c>
      <c r="D907" s="4" t="s">
        <v>721</v>
      </c>
      <c r="E907" s="4" t="s">
        <v>2867</v>
      </c>
      <c r="F907" s="4" t="s">
        <v>2868</v>
      </c>
      <c r="G907" s="4"/>
      <c r="H907" s="4"/>
    </row>
    <row r="908" spans="1:8">
      <c r="A908" s="4">
        <v>230</v>
      </c>
      <c r="B908" s="4" t="s">
        <v>720</v>
      </c>
      <c r="C908" s="4" t="s">
        <v>1930</v>
      </c>
      <c r="D908" s="4" t="s">
        <v>722</v>
      </c>
      <c r="E908" s="4" t="s">
        <v>722</v>
      </c>
      <c r="F908" s="4" t="s">
        <v>1669</v>
      </c>
      <c r="G908" s="4"/>
      <c r="H908" s="4"/>
    </row>
    <row r="909" spans="1:8" ht="27.6">
      <c r="A909" s="4">
        <v>231</v>
      </c>
      <c r="B909" s="4" t="s">
        <v>723</v>
      </c>
      <c r="C909" s="4" t="s">
        <v>1925</v>
      </c>
      <c r="D909" s="4" t="s">
        <v>724</v>
      </c>
      <c r="E909" s="4" t="s">
        <v>2869</v>
      </c>
      <c r="F909" s="4" t="s">
        <v>1670</v>
      </c>
      <c r="G909" s="4" t="s">
        <v>211</v>
      </c>
      <c r="H909" s="4" t="s">
        <v>1927</v>
      </c>
    </row>
    <row r="910" spans="1:8">
      <c r="A910" s="4">
        <v>231</v>
      </c>
      <c r="B910" s="4" t="s">
        <v>723</v>
      </c>
      <c r="C910" s="4" t="s">
        <v>1925</v>
      </c>
      <c r="D910" s="4" t="s">
        <v>724</v>
      </c>
      <c r="E910" s="4" t="s">
        <v>2870</v>
      </c>
      <c r="F910" s="4" t="s">
        <v>2871</v>
      </c>
      <c r="G910" s="4"/>
      <c r="H910" s="4"/>
    </row>
    <row r="911" spans="1:8">
      <c r="A911" s="4">
        <v>231</v>
      </c>
      <c r="B911" s="4" t="s">
        <v>723</v>
      </c>
      <c r="C911" s="4" t="s">
        <v>1930</v>
      </c>
      <c r="D911" s="4" t="s">
        <v>725</v>
      </c>
      <c r="E911" s="4" t="s">
        <v>725</v>
      </c>
      <c r="F911" s="4" t="s">
        <v>1671</v>
      </c>
      <c r="G911" s="4"/>
      <c r="H911" s="4"/>
    </row>
    <row r="912" spans="1:8">
      <c r="A912" s="4">
        <v>231</v>
      </c>
      <c r="B912" s="4" t="s">
        <v>723</v>
      </c>
      <c r="C912" s="4" t="s">
        <v>1936</v>
      </c>
      <c r="D912" s="4" t="s">
        <v>342</v>
      </c>
      <c r="E912" s="4" t="s">
        <v>1068</v>
      </c>
      <c r="F912" s="4" t="s">
        <v>1444</v>
      </c>
      <c r="G912" s="4"/>
      <c r="H912" s="4"/>
    </row>
    <row r="913" spans="1:8" ht="27.6">
      <c r="A913" s="4">
        <v>232</v>
      </c>
      <c r="B913" s="4" t="s">
        <v>726</v>
      </c>
      <c r="C913" s="4" t="s">
        <v>1925</v>
      </c>
      <c r="D913" s="4" t="s">
        <v>727</v>
      </c>
      <c r="E913" s="4" t="s">
        <v>2872</v>
      </c>
      <c r="F913" s="4" t="s">
        <v>1672</v>
      </c>
      <c r="G913" s="4" t="s">
        <v>211</v>
      </c>
      <c r="H913" s="4" t="s">
        <v>1927</v>
      </c>
    </row>
    <row r="914" spans="1:8">
      <c r="A914" s="4">
        <v>232</v>
      </c>
      <c r="B914" s="4" t="s">
        <v>726</v>
      </c>
      <c r="C914" s="4" t="s">
        <v>1925</v>
      </c>
      <c r="D914" s="4" t="s">
        <v>727</v>
      </c>
      <c r="E914" s="4" t="s">
        <v>2873</v>
      </c>
      <c r="F914" s="4" t="s">
        <v>2874</v>
      </c>
      <c r="G914" s="4"/>
      <c r="H914" s="4"/>
    </row>
    <row r="915" spans="1:8">
      <c r="A915" s="4">
        <v>232</v>
      </c>
      <c r="B915" s="4" t="s">
        <v>726</v>
      </c>
      <c r="C915" s="4" t="s">
        <v>1925</v>
      </c>
      <c r="D915" s="4" t="s">
        <v>727</v>
      </c>
      <c r="E915" s="4" t="s">
        <v>2875</v>
      </c>
      <c r="F915" s="4" t="s">
        <v>2876</v>
      </c>
      <c r="G915" s="4"/>
      <c r="H915" s="4"/>
    </row>
    <row r="916" spans="1:8">
      <c r="A916" s="4">
        <v>232</v>
      </c>
      <c r="B916" s="4" t="s">
        <v>726</v>
      </c>
      <c r="C916" s="4" t="s">
        <v>1930</v>
      </c>
      <c r="D916" s="4" t="s">
        <v>728</v>
      </c>
      <c r="E916" s="4" t="s">
        <v>728</v>
      </c>
      <c r="F916" s="4" t="s">
        <v>1673</v>
      </c>
      <c r="G916" s="4"/>
      <c r="H916" s="4"/>
    </row>
    <row r="917" spans="1:8" ht="27.6">
      <c r="A917" s="4">
        <v>233</v>
      </c>
      <c r="B917" s="4" t="s">
        <v>729</v>
      </c>
      <c r="C917" s="4" t="s">
        <v>1925</v>
      </c>
      <c r="D917" s="4" t="s">
        <v>730</v>
      </c>
      <c r="E917" s="4" t="s">
        <v>2877</v>
      </c>
      <c r="F917" s="4" t="s">
        <v>1674</v>
      </c>
      <c r="G917" s="4" t="s">
        <v>211</v>
      </c>
      <c r="H917" s="4" t="s">
        <v>1927</v>
      </c>
    </row>
    <row r="918" spans="1:8">
      <c r="A918" s="4">
        <v>233</v>
      </c>
      <c r="B918" s="4" t="s">
        <v>729</v>
      </c>
      <c r="C918" s="4" t="s">
        <v>1925</v>
      </c>
      <c r="D918" s="4" t="s">
        <v>730</v>
      </c>
      <c r="E918" s="4" t="s">
        <v>2878</v>
      </c>
      <c r="F918" s="4" t="s">
        <v>2879</v>
      </c>
      <c r="G918" s="4"/>
      <c r="H918" s="4"/>
    </row>
    <row r="919" spans="1:8">
      <c r="A919" s="4">
        <v>233</v>
      </c>
      <c r="B919" s="4" t="s">
        <v>729</v>
      </c>
      <c r="C919" s="4" t="s">
        <v>1925</v>
      </c>
      <c r="D919" s="4" t="s">
        <v>730</v>
      </c>
      <c r="E919" s="4" t="s">
        <v>2880</v>
      </c>
      <c r="F919" s="4" t="s">
        <v>2881</v>
      </c>
      <c r="G919" s="4"/>
      <c r="H919" s="4"/>
    </row>
    <row r="920" spans="1:8">
      <c r="A920" s="4">
        <v>233</v>
      </c>
      <c r="B920" s="4" t="s">
        <v>729</v>
      </c>
      <c r="C920" s="4" t="s">
        <v>1930</v>
      </c>
      <c r="D920" s="4" t="s">
        <v>731</v>
      </c>
      <c r="E920" s="4" t="s">
        <v>731</v>
      </c>
      <c r="F920" s="4" t="s">
        <v>1675</v>
      </c>
      <c r="G920" s="4"/>
      <c r="H920" s="4"/>
    </row>
    <row r="921" spans="1:8">
      <c r="A921" s="4">
        <v>233</v>
      </c>
      <c r="B921" s="4" t="s">
        <v>729</v>
      </c>
      <c r="C921" s="4" t="s">
        <v>1936</v>
      </c>
      <c r="D921" s="4" t="s">
        <v>342</v>
      </c>
      <c r="E921" s="4" t="s">
        <v>1068</v>
      </c>
      <c r="F921" s="4" t="s">
        <v>1444</v>
      </c>
      <c r="G921" s="4"/>
      <c r="H921" s="4"/>
    </row>
    <row r="922" spans="1:8" ht="27.6">
      <c r="A922" s="4">
        <v>234</v>
      </c>
      <c r="B922" s="4" t="s">
        <v>732</v>
      </c>
      <c r="C922" s="4" t="s">
        <v>1925</v>
      </c>
      <c r="D922" s="4" t="s">
        <v>733</v>
      </c>
      <c r="E922" s="4" t="s">
        <v>2882</v>
      </c>
      <c r="F922" s="4" t="s">
        <v>1676</v>
      </c>
      <c r="G922" s="4" t="s">
        <v>211</v>
      </c>
      <c r="H922" s="4" t="s">
        <v>1927</v>
      </c>
    </row>
    <row r="923" spans="1:8">
      <c r="A923" s="4">
        <v>234</v>
      </c>
      <c r="B923" s="4" t="s">
        <v>732</v>
      </c>
      <c r="C923" s="4" t="s">
        <v>1925</v>
      </c>
      <c r="D923" s="4" t="s">
        <v>733</v>
      </c>
      <c r="E923" s="4" t="s">
        <v>2883</v>
      </c>
      <c r="F923" s="4" t="s">
        <v>2884</v>
      </c>
      <c r="G923" s="4"/>
      <c r="H923" s="4"/>
    </row>
    <row r="924" spans="1:8">
      <c r="A924" s="4">
        <v>234</v>
      </c>
      <c r="B924" s="4" t="s">
        <v>732</v>
      </c>
      <c r="C924" s="4" t="s">
        <v>1930</v>
      </c>
      <c r="D924" s="4" t="s">
        <v>734</v>
      </c>
      <c r="E924" s="4" t="s">
        <v>734</v>
      </c>
      <c r="F924" s="4" t="s">
        <v>1677</v>
      </c>
      <c r="G924" s="4"/>
      <c r="H924" s="4"/>
    </row>
    <row r="925" spans="1:8">
      <c r="A925" s="4">
        <v>234</v>
      </c>
      <c r="B925" s="4" t="s">
        <v>732</v>
      </c>
      <c r="C925" s="4" t="s">
        <v>1936</v>
      </c>
      <c r="D925" s="4" t="s">
        <v>342</v>
      </c>
      <c r="E925" s="4" t="s">
        <v>1068</v>
      </c>
      <c r="F925" s="4" t="s">
        <v>1444</v>
      </c>
      <c r="G925" s="4"/>
      <c r="H925" s="4"/>
    </row>
    <row r="926" spans="1:8" ht="27.6">
      <c r="A926" s="4">
        <v>235</v>
      </c>
      <c r="B926" s="4" t="s">
        <v>735</v>
      </c>
      <c r="C926" s="4" t="s">
        <v>1925</v>
      </c>
      <c r="D926" s="4" t="s">
        <v>736</v>
      </c>
      <c r="E926" s="4" t="s">
        <v>2885</v>
      </c>
      <c r="F926" s="4" t="s">
        <v>1678</v>
      </c>
      <c r="G926" s="4" t="s">
        <v>211</v>
      </c>
      <c r="H926" s="4" t="s">
        <v>1927</v>
      </c>
    </row>
    <row r="927" spans="1:8">
      <c r="A927" s="4">
        <v>235</v>
      </c>
      <c r="B927" s="4" t="s">
        <v>735</v>
      </c>
      <c r="C927" s="4" t="s">
        <v>1925</v>
      </c>
      <c r="D927" s="4" t="s">
        <v>736</v>
      </c>
      <c r="E927" s="4" t="s">
        <v>2886</v>
      </c>
      <c r="F927" s="4" t="s">
        <v>2887</v>
      </c>
      <c r="G927" s="4"/>
      <c r="H927" s="4"/>
    </row>
    <row r="928" spans="1:8">
      <c r="A928" s="4">
        <v>235</v>
      </c>
      <c r="B928" s="4" t="s">
        <v>735</v>
      </c>
      <c r="C928" s="4" t="s">
        <v>1925</v>
      </c>
      <c r="D928" s="4" t="s">
        <v>736</v>
      </c>
      <c r="E928" s="4" t="s">
        <v>2888</v>
      </c>
      <c r="F928" s="4" t="s">
        <v>2889</v>
      </c>
      <c r="G928" s="4"/>
      <c r="H928" s="4"/>
    </row>
    <row r="929" spans="1:8">
      <c r="A929" s="4">
        <v>235</v>
      </c>
      <c r="B929" s="4" t="s">
        <v>735</v>
      </c>
      <c r="C929" s="4" t="s">
        <v>1930</v>
      </c>
      <c r="D929" s="4" t="s">
        <v>737</v>
      </c>
      <c r="E929" s="4" t="s">
        <v>737</v>
      </c>
      <c r="F929" s="4" t="s">
        <v>1679</v>
      </c>
      <c r="G929" s="4"/>
      <c r="H929" s="4"/>
    </row>
    <row r="930" spans="1:8">
      <c r="A930" s="4">
        <v>235</v>
      </c>
      <c r="B930" s="4" t="s">
        <v>735</v>
      </c>
      <c r="C930" s="4" t="s">
        <v>1936</v>
      </c>
      <c r="D930" s="4" t="s">
        <v>342</v>
      </c>
      <c r="E930" s="4" t="s">
        <v>1068</v>
      </c>
      <c r="F930" s="4" t="s">
        <v>1444</v>
      </c>
      <c r="G930" s="4"/>
      <c r="H930" s="4"/>
    </row>
    <row r="931" spans="1:8" ht="27.6">
      <c r="A931" s="4">
        <v>236</v>
      </c>
      <c r="B931" s="4" t="s">
        <v>738</v>
      </c>
      <c r="C931" s="4" t="s">
        <v>1925</v>
      </c>
      <c r="D931" s="4" t="s">
        <v>739</v>
      </c>
      <c r="E931" s="4" t="s">
        <v>2890</v>
      </c>
      <c r="F931" s="4" t="s">
        <v>1680</v>
      </c>
      <c r="G931" s="4" t="s">
        <v>262</v>
      </c>
      <c r="H931" s="4" t="s">
        <v>1927</v>
      </c>
    </row>
    <row r="932" spans="1:8">
      <c r="A932" s="4">
        <v>236</v>
      </c>
      <c r="B932" s="4" t="s">
        <v>738</v>
      </c>
      <c r="C932" s="4" t="s">
        <v>1925</v>
      </c>
      <c r="D932" s="4" t="s">
        <v>739</v>
      </c>
      <c r="E932" s="4" t="s">
        <v>2891</v>
      </c>
      <c r="F932" s="4" t="s">
        <v>2892</v>
      </c>
      <c r="G932" s="4"/>
      <c r="H932" s="4"/>
    </row>
    <row r="933" spans="1:8">
      <c r="A933" s="4">
        <v>236</v>
      </c>
      <c r="B933" s="4" t="s">
        <v>738</v>
      </c>
      <c r="C933" s="4" t="s">
        <v>1930</v>
      </c>
      <c r="D933" s="4" t="s">
        <v>740</v>
      </c>
      <c r="E933" s="4" t="s">
        <v>678</v>
      </c>
      <c r="F933" s="4" t="s">
        <v>1643</v>
      </c>
      <c r="G933" s="4"/>
      <c r="H933" s="4"/>
    </row>
    <row r="934" spans="1:8" ht="27.6">
      <c r="A934" s="4">
        <v>237</v>
      </c>
      <c r="B934" s="4" t="s">
        <v>741</v>
      </c>
      <c r="C934" s="4" t="s">
        <v>1925</v>
      </c>
      <c r="D934" s="4" t="s">
        <v>742</v>
      </c>
      <c r="E934" s="4" t="s">
        <v>2893</v>
      </c>
      <c r="F934" s="4" t="s">
        <v>1681</v>
      </c>
      <c r="G934" s="4" t="s">
        <v>262</v>
      </c>
      <c r="H934" s="4" t="s">
        <v>1927</v>
      </c>
    </row>
    <row r="935" spans="1:8">
      <c r="A935" s="4">
        <v>237</v>
      </c>
      <c r="B935" s="4" t="s">
        <v>741</v>
      </c>
      <c r="C935" s="4" t="s">
        <v>1925</v>
      </c>
      <c r="D935" s="4" t="s">
        <v>742</v>
      </c>
      <c r="E935" s="4" t="s">
        <v>2894</v>
      </c>
      <c r="F935" s="4" t="s">
        <v>2895</v>
      </c>
      <c r="G935" s="4"/>
      <c r="H935" s="4"/>
    </row>
    <row r="936" spans="1:8">
      <c r="A936" s="4">
        <v>237</v>
      </c>
      <c r="B936" s="4" t="s">
        <v>741</v>
      </c>
      <c r="C936" s="4" t="s">
        <v>1925</v>
      </c>
      <c r="D936" s="4" t="s">
        <v>742</v>
      </c>
      <c r="E936" s="4" t="s">
        <v>2896</v>
      </c>
      <c r="F936" s="4" t="s">
        <v>2897</v>
      </c>
      <c r="G936" s="4"/>
      <c r="H936" s="4"/>
    </row>
    <row r="937" spans="1:8">
      <c r="A937" s="4">
        <v>237</v>
      </c>
      <c r="B937" s="4" t="s">
        <v>741</v>
      </c>
      <c r="C937" s="4" t="s">
        <v>1930</v>
      </c>
      <c r="D937" s="4" t="s">
        <v>740</v>
      </c>
      <c r="E937" s="4" t="s">
        <v>678</v>
      </c>
      <c r="F937" s="4" t="s">
        <v>1643</v>
      </c>
      <c r="G937" s="4"/>
      <c r="H937" s="4"/>
    </row>
    <row r="938" spans="1:8" ht="27.6">
      <c r="A938" s="4">
        <v>238</v>
      </c>
      <c r="B938" s="4" t="s">
        <v>743</v>
      </c>
      <c r="C938" s="4" t="s">
        <v>1925</v>
      </c>
      <c r="D938" s="4" t="s">
        <v>744</v>
      </c>
      <c r="E938" s="4" t="s">
        <v>2898</v>
      </c>
      <c r="F938" s="4" t="s">
        <v>1682</v>
      </c>
      <c r="G938" s="4" t="s">
        <v>262</v>
      </c>
      <c r="H938" s="4" t="s">
        <v>1927</v>
      </c>
    </row>
    <row r="939" spans="1:8">
      <c r="A939" s="4">
        <v>238</v>
      </c>
      <c r="B939" s="4" t="s">
        <v>743</v>
      </c>
      <c r="C939" s="4" t="s">
        <v>1925</v>
      </c>
      <c r="D939" s="4" t="s">
        <v>744</v>
      </c>
      <c r="E939" s="4" t="s">
        <v>2899</v>
      </c>
      <c r="F939" s="4" t="s">
        <v>2900</v>
      </c>
      <c r="G939" s="4"/>
      <c r="H939" s="4"/>
    </row>
    <row r="940" spans="1:8">
      <c r="A940" s="4">
        <v>238</v>
      </c>
      <c r="B940" s="4" t="s">
        <v>743</v>
      </c>
      <c r="C940" s="4" t="s">
        <v>1930</v>
      </c>
      <c r="D940" s="4" t="s">
        <v>740</v>
      </c>
      <c r="E940" s="4" t="s">
        <v>678</v>
      </c>
      <c r="F940" s="4" t="s">
        <v>1643</v>
      </c>
      <c r="G940" s="4"/>
      <c r="H940" s="4"/>
    </row>
    <row r="941" spans="1:8" ht="27.6">
      <c r="A941" s="4">
        <v>239</v>
      </c>
      <c r="B941" s="4" t="s">
        <v>745</v>
      </c>
      <c r="C941" s="4" t="s">
        <v>1925</v>
      </c>
      <c r="D941" s="4" t="s">
        <v>746</v>
      </c>
      <c r="E941" s="4" t="s">
        <v>2901</v>
      </c>
      <c r="F941" s="4" t="s">
        <v>1683</v>
      </c>
      <c r="G941" s="4" t="s">
        <v>262</v>
      </c>
      <c r="H941" s="4" t="s">
        <v>1927</v>
      </c>
    </row>
    <row r="942" spans="1:8">
      <c r="A942" s="4">
        <v>239</v>
      </c>
      <c r="B942" s="4" t="s">
        <v>745</v>
      </c>
      <c r="C942" s="4" t="s">
        <v>1925</v>
      </c>
      <c r="D942" s="4" t="s">
        <v>746</v>
      </c>
      <c r="E942" s="4" t="s">
        <v>2902</v>
      </c>
      <c r="F942" s="4" t="s">
        <v>2903</v>
      </c>
      <c r="G942" s="4"/>
      <c r="H942" s="4"/>
    </row>
    <row r="943" spans="1:8">
      <c r="A943" s="4">
        <v>239</v>
      </c>
      <c r="B943" s="4" t="s">
        <v>745</v>
      </c>
      <c r="C943" s="4" t="s">
        <v>1925</v>
      </c>
      <c r="D943" s="4" t="s">
        <v>746</v>
      </c>
      <c r="E943" s="4" t="s">
        <v>2904</v>
      </c>
      <c r="F943" s="4" t="s">
        <v>2905</v>
      </c>
      <c r="G943" s="4"/>
      <c r="H943" s="4"/>
    </row>
    <row r="944" spans="1:8">
      <c r="A944" s="4">
        <v>239</v>
      </c>
      <c r="B944" s="4" t="s">
        <v>745</v>
      </c>
      <c r="C944" s="4" t="s">
        <v>1930</v>
      </c>
      <c r="D944" s="4" t="s">
        <v>740</v>
      </c>
      <c r="E944" s="4" t="s">
        <v>678</v>
      </c>
      <c r="F944" s="4" t="s">
        <v>1643</v>
      </c>
      <c r="G944" s="4"/>
      <c r="H944" s="4"/>
    </row>
    <row r="945" spans="1:8" ht="27.6">
      <c r="A945" s="4">
        <v>240</v>
      </c>
      <c r="B945" s="4" t="s">
        <v>747</v>
      </c>
      <c r="C945" s="4" t="s">
        <v>1925</v>
      </c>
      <c r="D945" s="4" t="s">
        <v>748</v>
      </c>
      <c r="E945" s="4" t="s">
        <v>2906</v>
      </c>
      <c r="F945" s="4" t="s">
        <v>1684</v>
      </c>
      <c r="G945" s="4" t="s">
        <v>262</v>
      </c>
      <c r="H945" s="4" t="s">
        <v>1927</v>
      </c>
    </row>
    <row r="946" spans="1:8">
      <c r="A946" s="4">
        <v>240</v>
      </c>
      <c r="B946" s="4" t="s">
        <v>747</v>
      </c>
      <c r="C946" s="4" t="s">
        <v>1925</v>
      </c>
      <c r="D946" s="4" t="s">
        <v>748</v>
      </c>
      <c r="E946" s="4" t="s">
        <v>2907</v>
      </c>
      <c r="F946" s="4" t="s">
        <v>2908</v>
      </c>
      <c r="G946" s="4"/>
      <c r="H946" s="4"/>
    </row>
    <row r="947" spans="1:8">
      <c r="A947" s="4">
        <v>240</v>
      </c>
      <c r="B947" s="4" t="s">
        <v>747</v>
      </c>
      <c r="C947" s="4" t="s">
        <v>1930</v>
      </c>
      <c r="D947" s="4" t="s">
        <v>740</v>
      </c>
      <c r="E947" s="4" t="s">
        <v>678</v>
      </c>
      <c r="F947" s="4" t="s">
        <v>1643</v>
      </c>
      <c r="G947" s="4"/>
      <c r="H947" s="4"/>
    </row>
    <row r="948" spans="1:8" ht="27.6">
      <c r="A948" s="4">
        <v>241</v>
      </c>
      <c r="B948" s="4" t="s">
        <v>749</v>
      </c>
      <c r="C948" s="4" t="s">
        <v>1925</v>
      </c>
      <c r="D948" s="4" t="s">
        <v>750</v>
      </c>
      <c r="E948" s="4" t="s">
        <v>2909</v>
      </c>
      <c r="F948" s="4" t="s">
        <v>1685</v>
      </c>
      <c r="G948" s="4" t="s">
        <v>752</v>
      </c>
      <c r="H948" s="4" t="s">
        <v>1927</v>
      </c>
    </row>
    <row r="949" spans="1:8">
      <c r="A949" s="4">
        <v>241</v>
      </c>
      <c r="B949" s="4" t="s">
        <v>749</v>
      </c>
      <c r="C949" s="4" t="s">
        <v>1925</v>
      </c>
      <c r="D949" s="4" t="s">
        <v>750</v>
      </c>
      <c r="E949" s="4" t="s">
        <v>2910</v>
      </c>
      <c r="F949" s="4" t="s">
        <v>2911</v>
      </c>
      <c r="G949" s="4"/>
      <c r="H949" s="4"/>
    </row>
    <row r="950" spans="1:8">
      <c r="A950" s="4">
        <v>241</v>
      </c>
      <c r="B950" s="4" t="s">
        <v>749</v>
      </c>
      <c r="C950" s="4" t="s">
        <v>1925</v>
      </c>
      <c r="D950" s="4" t="s">
        <v>750</v>
      </c>
      <c r="E950" s="4" t="s">
        <v>2912</v>
      </c>
      <c r="F950" s="4" t="s">
        <v>2913</v>
      </c>
      <c r="G950" s="4"/>
      <c r="H950" s="4"/>
    </row>
    <row r="951" spans="1:8">
      <c r="A951" s="4">
        <v>241</v>
      </c>
      <c r="B951" s="4" t="s">
        <v>749</v>
      </c>
      <c r="C951" s="4" t="s">
        <v>1930</v>
      </c>
      <c r="D951" s="4" t="s">
        <v>751</v>
      </c>
      <c r="E951" s="4" t="s">
        <v>751</v>
      </c>
      <c r="F951" s="4" t="s">
        <v>1686</v>
      </c>
      <c r="G951" s="4"/>
      <c r="H951" s="4"/>
    </row>
    <row r="952" spans="1:8" ht="27.6">
      <c r="A952" s="4">
        <v>242</v>
      </c>
      <c r="B952" s="4" t="s">
        <v>754</v>
      </c>
      <c r="C952" s="4" t="s">
        <v>1925</v>
      </c>
      <c r="D952" s="4" t="s">
        <v>755</v>
      </c>
      <c r="E952" s="4" t="s">
        <v>2914</v>
      </c>
      <c r="F952" s="4" t="s">
        <v>1687</v>
      </c>
      <c r="G952" s="4" t="s">
        <v>752</v>
      </c>
      <c r="H952" s="4" t="s">
        <v>1927</v>
      </c>
    </row>
    <row r="953" spans="1:8">
      <c r="A953" s="4">
        <v>242</v>
      </c>
      <c r="B953" s="4" t="s">
        <v>754</v>
      </c>
      <c r="C953" s="4" t="s">
        <v>1925</v>
      </c>
      <c r="D953" s="4" t="s">
        <v>755</v>
      </c>
      <c r="E953" s="4" t="s">
        <v>2915</v>
      </c>
      <c r="F953" s="4" t="s">
        <v>2916</v>
      </c>
      <c r="G953" s="4"/>
      <c r="H953" s="4"/>
    </row>
    <row r="954" spans="1:8">
      <c r="A954" s="4">
        <v>242</v>
      </c>
      <c r="B954" s="4" t="s">
        <v>754</v>
      </c>
      <c r="C954" s="4" t="s">
        <v>1930</v>
      </c>
      <c r="D954" s="4" t="s">
        <v>756</v>
      </c>
      <c r="E954" s="4" t="s">
        <v>756</v>
      </c>
      <c r="F954" s="4" t="s">
        <v>1688</v>
      </c>
      <c r="G954" s="4"/>
      <c r="H954" s="4"/>
    </row>
    <row r="955" spans="1:8">
      <c r="A955" s="4">
        <v>242</v>
      </c>
      <c r="B955" s="4" t="s">
        <v>754</v>
      </c>
      <c r="C955" s="4" t="s">
        <v>1936</v>
      </c>
      <c r="D955" s="4" t="s">
        <v>757</v>
      </c>
      <c r="E955" s="4" t="s">
        <v>765</v>
      </c>
      <c r="F955" s="4" t="s">
        <v>1689</v>
      </c>
      <c r="G955" s="4"/>
      <c r="H955" s="4"/>
    </row>
    <row r="956" spans="1:8" ht="27.6">
      <c r="A956" s="4">
        <v>243</v>
      </c>
      <c r="B956" s="4" t="s">
        <v>758</v>
      </c>
      <c r="C956" s="4" t="s">
        <v>1925</v>
      </c>
      <c r="D956" s="4" t="s">
        <v>759</v>
      </c>
      <c r="E956" s="4" t="s">
        <v>2917</v>
      </c>
      <c r="F956" s="4" t="s">
        <v>1690</v>
      </c>
      <c r="G956" s="4" t="s">
        <v>752</v>
      </c>
      <c r="H956" s="4" t="s">
        <v>1927</v>
      </c>
    </row>
    <row r="957" spans="1:8">
      <c r="A957" s="4">
        <v>243</v>
      </c>
      <c r="B957" s="4" t="s">
        <v>758</v>
      </c>
      <c r="C957" s="4" t="s">
        <v>1925</v>
      </c>
      <c r="D957" s="4" t="s">
        <v>759</v>
      </c>
      <c r="E957" s="4" t="s">
        <v>2918</v>
      </c>
      <c r="F957" s="4" t="s">
        <v>2919</v>
      </c>
      <c r="G957" s="4"/>
      <c r="H957" s="4"/>
    </row>
    <row r="958" spans="1:8">
      <c r="A958" s="4">
        <v>243</v>
      </c>
      <c r="B958" s="4" t="s">
        <v>758</v>
      </c>
      <c r="C958" s="4" t="s">
        <v>1925</v>
      </c>
      <c r="D958" s="4" t="s">
        <v>759</v>
      </c>
      <c r="E958" s="4" t="s">
        <v>2920</v>
      </c>
      <c r="F958" s="4" t="s">
        <v>2921</v>
      </c>
      <c r="G958" s="4"/>
      <c r="H958" s="4"/>
    </row>
    <row r="959" spans="1:8">
      <c r="A959" s="4">
        <v>243</v>
      </c>
      <c r="B959" s="4" t="s">
        <v>758</v>
      </c>
      <c r="C959" s="4" t="s">
        <v>1930</v>
      </c>
      <c r="D959" s="4" t="s">
        <v>757</v>
      </c>
      <c r="E959" s="4" t="s">
        <v>765</v>
      </c>
      <c r="F959" s="4" t="s">
        <v>1689</v>
      </c>
      <c r="G959" s="4"/>
      <c r="H959" s="4"/>
    </row>
    <row r="960" spans="1:8" ht="27.6">
      <c r="A960" s="4">
        <v>244</v>
      </c>
      <c r="B960" s="4" t="s">
        <v>760</v>
      </c>
      <c r="C960" s="4" t="s">
        <v>1925</v>
      </c>
      <c r="D960" s="4" t="s">
        <v>761</v>
      </c>
      <c r="E960" s="4" t="s">
        <v>2922</v>
      </c>
      <c r="F960" s="4" t="s">
        <v>1691</v>
      </c>
      <c r="G960" s="4" t="s">
        <v>752</v>
      </c>
      <c r="H960" s="4" t="s">
        <v>1927</v>
      </c>
    </row>
    <row r="961" spans="1:8">
      <c r="A961" s="4">
        <v>244</v>
      </c>
      <c r="B961" s="4" t="s">
        <v>760</v>
      </c>
      <c r="C961" s="4" t="s">
        <v>1925</v>
      </c>
      <c r="D961" s="4" t="s">
        <v>761</v>
      </c>
      <c r="E961" s="4" t="s">
        <v>2923</v>
      </c>
      <c r="F961" s="4" t="s">
        <v>2924</v>
      </c>
      <c r="G961" s="4"/>
      <c r="H961" s="4"/>
    </row>
    <row r="962" spans="1:8">
      <c r="A962" s="4">
        <v>244</v>
      </c>
      <c r="B962" s="4" t="s">
        <v>760</v>
      </c>
      <c r="C962" s="4" t="s">
        <v>1925</v>
      </c>
      <c r="D962" s="4" t="s">
        <v>761</v>
      </c>
      <c r="E962" s="4" t="s">
        <v>2925</v>
      </c>
      <c r="F962" s="4" t="s">
        <v>2926</v>
      </c>
      <c r="G962" s="4"/>
      <c r="H962" s="4"/>
    </row>
    <row r="963" spans="1:8">
      <c r="A963" s="4">
        <v>244</v>
      </c>
      <c r="B963" s="4" t="s">
        <v>760</v>
      </c>
      <c r="C963" s="4" t="s">
        <v>1930</v>
      </c>
      <c r="D963" s="4" t="s">
        <v>762</v>
      </c>
      <c r="E963" s="4" t="s">
        <v>762</v>
      </c>
      <c r="F963" s="4" t="s">
        <v>1692</v>
      </c>
      <c r="G963" s="4"/>
      <c r="H963" s="4"/>
    </row>
    <row r="964" spans="1:8" ht="27.6">
      <c r="A964" s="4">
        <v>245</v>
      </c>
      <c r="B964" s="4" t="s">
        <v>763</v>
      </c>
      <c r="C964" s="4" t="s">
        <v>1925</v>
      </c>
      <c r="D964" s="4" t="s">
        <v>764</v>
      </c>
      <c r="E964" s="4" t="s">
        <v>2927</v>
      </c>
      <c r="F964" s="4" t="s">
        <v>1693</v>
      </c>
      <c r="G964" s="4" t="s">
        <v>752</v>
      </c>
      <c r="H964" s="4" t="s">
        <v>1927</v>
      </c>
    </row>
    <row r="965" spans="1:8">
      <c r="A965" s="4">
        <v>245</v>
      </c>
      <c r="B965" s="4" t="s">
        <v>763</v>
      </c>
      <c r="C965" s="4" t="s">
        <v>1925</v>
      </c>
      <c r="D965" s="4" t="s">
        <v>764</v>
      </c>
      <c r="E965" s="4" t="s">
        <v>2928</v>
      </c>
      <c r="F965" s="4" t="s">
        <v>2929</v>
      </c>
      <c r="G965" s="4"/>
      <c r="H965" s="4"/>
    </row>
    <row r="966" spans="1:8">
      <c r="A966" s="4">
        <v>245</v>
      </c>
      <c r="B966" s="4" t="s">
        <v>763</v>
      </c>
      <c r="C966" s="4" t="s">
        <v>1930</v>
      </c>
      <c r="D966" s="4" t="s">
        <v>765</v>
      </c>
      <c r="E966" s="4" t="s">
        <v>765</v>
      </c>
      <c r="F966" s="4" t="s">
        <v>1689</v>
      </c>
      <c r="G966" s="4"/>
      <c r="H966" s="4"/>
    </row>
    <row r="967" spans="1:8" ht="27.6">
      <c r="A967" s="4">
        <v>246</v>
      </c>
      <c r="B967" s="4" t="s">
        <v>766</v>
      </c>
      <c r="C967" s="4" t="s">
        <v>1925</v>
      </c>
      <c r="D967" s="4" t="s">
        <v>767</v>
      </c>
      <c r="E967" s="4" t="s">
        <v>2930</v>
      </c>
      <c r="F967" s="4" t="s">
        <v>1694</v>
      </c>
      <c r="G967" s="4" t="s">
        <v>20</v>
      </c>
      <c r="H967" s="4" t="s">
        <v>1927</v>
      </c>
    </row>
    <row r="968" spans="1:8">
      <c r="A968" s="4">
        <v>246</v>
      </c>
      <c r="B968" s="4" t="s">
        <v>766</v>
      </c>
      <c r="C968" s="4" t="s">
        <v>1925</v>
      </c>
      <c r="D968" s="4" t="s">
        <v>767</v>
      </c>
      <c r="E968" s="4" t="s">
        <v>2931</v>
      </c>
      <c r="F968" s="4" t="s">
        <v>2932</v>
      </c>
      <c r="G968" s="4"/>
      <c r="H968" s="4"/>
    </row>
    <row r="969" spans="1:8">
      <c r="A969" s="4">
        <v>246</v>
      </c>
      <c r="B969" s="4" t="s">
        <v>766</v>
      </c>
      <c r="C969" s="4" t="s">
        <v>1925</v>
      </c>
      <c r="D969" s="4" t="s">
        <v>767</v>
      </c>
      <c r="E969" s="4" t="s">
        <v>2933</v>
      </c>
      <c r="F969" s="4" t="s">
        <v>2934</v>
      </c>
      <c r="G969" s="4"/>
      <c r="H969" s="4"/>
    </row>
    <row r="970" spans="1:8">
      <c r="A970" s="4">
        <v>246</v>
      </c>
      <c r="B970" s="4" t="s">
        <v>766</v>
      </c>
      <c r="C970" s="4" t="s">
        <v>1930</v>
      </c>
      <c r="D970" s="4" t="s">
        <v>768</v>
      </c>
      <c r="E970" s="4" t="s">
        <v>768</v>
      </c>
      <c r="F970" s="4" t="s">
        <v>1695</v>
      </c>
      <c r="G970" s="4"/>
      <c r="H970" s="4"/>
    </row>
    <row r="971" spans="1:8" ht="27.6">
      <c r="A971" s="4">
        <v>247</v>
      </c>
      <c r="B971" s="4" t="s">
        <v>769</v>
      </c>
      <c r="C971" s="4" t="s">
        <v>1925</v>
      </c>
      <c r="D971" s="4" t="s">
        <v>770</v>
      </c>
      <c r="E971" s="4" t="s">
        <v>2935</v>
      </c>
      <c r="F971" s="4" t="s">
        <v>1696</v>
      </c>
      <c r="G971" s="4" t="s">
        <v>20</v>
      </c>
      <c r="H971" s="4" t="s">
        <v>1927</v>
      </c>
    </row>
    <row r="972" spans="1:8">
      <c r="A972" s="4">
        <v>247</v>
      </c>
      <c r="B972" s="4" t="s">
        <v>769</v>
      </c>
      <c r="C972" s="4" t="s">
        <v>1925</v>
      </c>
      <c r="D972" s="4" t="s">
        <v>770</v>
      </c>
      <c r="E972" s="4" t="s">
        <v>2936</v>
      </c>
      <c r="F972" s="4" t="s">
        <v>2937</v>
      </c>
      <c r="G972" s="4"/>
      <c r="H972" s="4"/>
    </row>
    <row r="973" spans="1:8">
      <c r="A973" s="4">
        <v>247</v>
      </c>
      <c r="B973" s="4" t="s">
        <v>769</v>
      </c>
      <c r="C973" s="4" t="s">
        <v>1930</v>
      </c>
      <c r="D973" s="4" t="s">
        <v>771</v>
      </c>
      <c r="E973" s="4" t="s">
        <v>771</v>
      </c>
      <c r="F973" s="4" t="s">
        <v>1697</v>
      </c>
      <c r="G973" s="4"/>
      <c r="H973" s="4"/>
    </row>
    <row r="974" spans="1:8" ht="27.6">
      <c r="A974" s="4">
        <v>248</v>
      </c>
      <c r="B974" s="4" t="s">
        <v>772</v>
      </c>
      <c r="C974" s="4" t="s">
        <v>1925</v>
      </c>
      <c r="D974" s="4" t="s">
        <v>773</v>
      </c>
      <c r="E974" s="4" t="s">
        <v>2938</v>
      </c>
      <c r="F974" s="4" t="s">
        <v>1698</v>
      </c>
      <c r="G974" s="4" t="s">
        <v>604</v>
      </c>
      <c r="H974" s="4" t="s">
        <v>1927</v>
      </c>
    </row>
    <row r="975" spans="1:8">
      <c r="A975" s="4">
        <v>248</v>
      </c>
      <c r="B975" s="4" t="s">
        <v>772</v>
      </c>
      <c r="C975" s="4" t="s">
        <v>1925</v>
      </c>
      <c r="D975" s="4" t="s">
        <v>773</v>
      </c>
      <c r="E975" s="4" t="s">
        <v>2939</v>
      </c>
      <c r="F975" s="4" t="s">
        <v>2940</v>
      </c>
      <c r="G975" s="4"/>
      <c r="H975" s="4"/>
    </row>
    <row r="976" spans="1:8">
      <c r="A976" s="4">
        <v>248</v>
      </c>
      <c r="B976" s="4" t="s">
        <v>772</v>
      </c>
      <c r="C976" s="4" t="s">
        <v>1925</v>
      </c>
      <c r="D976" s="4" t="s">
        <v>773</v>
      </c>
      <c r="E976" s="4" t="s">
        <v>2941</v>
      </c>
      <c r="F976" s="4" t="s">
        <v>2942</v>
      </c>
      <c r="G976" s="4"/>
      <c r="H976" s="4"/>
    </row>
    <row r="977" spans="1:8">
      <c r="A977" s="4">
        <v>248</v>
      </c>
      <c r="B977" s="4" t="s">
        <v>772</v>
      </c>
      <c r="C977" s="4" t="s">
        <v>1930</v>
      </c>
      <c r="D977" s="4" t="s">
        <v>774</v>
      </c>
      <c r="E977" s="4" t="s">
        <v>774</v>
      </c>
      <c r="F977" s="4" t="s">
        <v>1699</v>
      </c>
      <c r="G977" s="4"/>
      <c r="H977" s="4"/>
    </row>
    <row r="978" spans="1:8">
      <c r="A978" s="4">
        <v>248</v>
      </c>
      <c r="B978" s="4" t="s">
        <v>772</v>
      </c>
      <c r="C978" s="4" t="s">
        <v>1936</v>
      </c>
      <c r="D978" s="4" t="s">
        <v>603</v>
      </c>
      <c r="E978" s="4" t="s">
        <v>608</v>
      </c>
      <c r="F978" s="4" t="s">
        <v>1600</v>
      </c>
      <c r="G978" s="4"/>
      <c r="H978" s="4"/>
    </row>
    <row r="979" spans="1:8" ht="27.6">
      <c r="A979" s="4">
        <v>249</v>
      </c>
      <c r="B979" s="4" t="s">
        <v>775</v>
      </c>
      <c r="C979" s="4" t="s">
        <v>1925</v>
      </c>
      <c r="D979" s="4" t="s">
        <v>776</v>
      </c>
      <c r="E979" s="4" t="s">
        <v>2943</v>
      </c>
      <c r="F979" s="4" t="s">
        <v>1700</v>
      </c>
      <c r="G979" s="4" t="s">
        <v>604</v>
      </c>
      <c r="H979" s="4" t="s">
        <v>1927</v>
      </c>
    </row>
    <row r="980" spans="1:8">
      <c r="A980" s="4">
        <v>249</v>
      </c>
      <c r="B980" s="4" t="s">
        <v>775</v>
      </c>
      <c r="C980" s="4" t="s">
        <v>1925</v>
      </c>
      <c r="D980" s="4" t="s">
        <v>776</v>
      </c>
      <c r="E980" s="4" t="s">
        <v>2944</v>
      </c>
      <c r="F980" s="4" t="s">
        <v>2945</v>
      </c>
      <c r="G980" s="4"/>
      <c r="H980" s="4"/>
    </row>
    <row r="981" spans="1:8">
      <c r="A981" s="4">
        <v>249</v>
      </c>
      <c r="B981" s="4" t="s">
        <v>775</v>
      </c>
      <c r="C981" s="4" t="s">
        <v>1930</v>
      </c>
      <c r="D981" s="4" t="s">
        <v>603</v>
      </c>
      <c r="E981" s="4" t="s">
        <v>608</v>
      </c>
      <c r="F981" s="4" t="s">
        <v>1600</v>
      </c>
      <c r="G981" s="4"/>
      <c r="H981" s="4"/>
    </row>
    <row r="982" spans="1:8" ht="27.6">
      <c r="A982" s="4">
        <v>250</v>
      </c>
      <c r="B982" s="4" t="s">
        <v>777</v>
      </c>
      <c r="C982" s="4" t="s">
        <v>1925</v>
      </c>
      <c r="D982" s="4" t="s">
        <v>778</v>
      </c>
      <c r="E982" s="4" t="s">
        <v>2946</v>
      </c>
      <c r="F982" s="4" t="s">
        <v>1701</v>
      </c>
      <c r="G982" s="4" t="s">
        <v>604</v>
      </c>
      <c r="H982" s="4" t="s">
        <v>1927</v>
      </c>
    </row>
    <row r="983" spans="1:8">
      <c r="A983" s="4">
        <v>250</v>
      </c>
      <c r="B983" s="4" t="s">
        <v>777</v>
      </c>
      <c r="C983" s="4" t="s">
        <v>1925</v>
      </c>
      <c r="D983" s="4" t="s">
        <v>778</v>
      </c>
      <c r="E983" s="4" t="s">
        <v>2947</v>
      </c>
      <c r="F983" s="4" t="s">
        <v>2948</v>
      </c>
      <c r="G983" s="4"/>
      <c r="H983" s="4"/>
    </row>
    <row r="984" spans="1:8">
      <c r="A984" s="4">
        <v>250</v>
      </c>
      <c r="B984" s="4" t="s">
        <v>777</v>
      </c>
      <c r="C984" s="4" t="s">
        <v>1925</v>
      </c>
      <c r="D984" s="4" t="s">
        <v>778</v>
      </c>
      <c r="E984" s="4" t="s">
        <v>2949</v>
      </c>
      <c r="F984" s="4" t="s">
        <v>2950</v>
      </c>
      <c r="G984" s="4"/>
      <c r="H984" s="4"/>
    </row>
    <row r="985" spans="1:8">
      <c r="A985" s="4">
        <v>250</v>
      </c>
      <c r="B985" s="4" t="s">
        <v>777</v>
      </c>
      <c r="C985" s="4" t="s">
        <v>1930</v>
      </c>
      <c r="D985" s="4" t="s">
        <v>603</v>
      </c>
      <c r="E985" s="4" t="s">
        <v>608</v>
      </c>
      <c r="F985" s="4" t="s">
        <v>1600</v>
      </c>
      <c r="G985" s="4"/>
      <c r="H985" s="4"/>
    </row>
    <row r="986" spans="1:8" ht="27.6">
      <c r="A986" s="4">
        <v>251</v>
      </c>
      <c r="B986" s="4" t="s">
        <v>779</v>
      </c>
      <c r="C986" s="4" t="s">
        <v>1925</v>
      </c>
      <c r="D986" s="4" t="s">
        <v>780</v>
      </c>
      <c r="E986" s="4" t="s">
        <v>2951</v>
      </c>
      <c r="F986" s="4" t="s">
        <v>1702</v>
      </c>
      <c r="G986" s="4" t="s">
        <v>226</v>
      </c>
      <c r="H986" s="4" t="s">
        <v>1927</v>
      </c>
    </row>
    <row r="987" spans="1:8">
      <c r="A987" s="4">
        <v>251</v>
      </c>
      <c r="B987" s="4" t="s">
        <v>779</v>
      </c>
      <c r="C987" s="4" t="s">
        <v>1925</v>
      </c>
      <c r="D987" s="4" t="s">
        <v>780</v>
      </c>
      <c r="E987" s="4" t="s">
        <v>2952</v>
      </c>
      <c r="F987" s="4" t="s">
        <v>2953</v>
      </c>
      <c r="G987" s="4"/>
      <c r="H987" s="4"/>
    </row>
    <row r="988" spans="1:8">
      <c r="A988" s="4">
        <v>251</v>
      </c>
      <c r="B988" s="4" t="s">
        <v>779</v>
      </c>
      <c r="C988" s="4" t="s">
        <v>1930</v>
      </c>
      <c r="D988" s="4" t="s">
        <v>781</v>
      </c>
      <c r="E988" s="4" t="s">
        <v>781</v>
      </c>
      <c r="F988" s="4" t="s">
        <v>1703</v>
      </c>
      <c r="G988" s="4"/>
      <c r="H988" s="4"/>
    </row>
    <row r="989" spans="1:8">
      <c r="A989" s="4">
        <v>251</v>
      </c>
      <c r="B989" s="4" t="s">
        <v>779</v>
      </c>
      <c r="C989" s="4" t="s">
        <v>1936</v>
      </c>
      <c r="D989" s="4" t="s">
        <v>267</v>
      </c>
      <c r="E989" s="4" t="s">
        <v>173</v>
      </c>
      <c r="F989" s="4" t="s">
        <v>1347</v>
      </c>
      <c r="G989" s="4"/>
      <c r="H989" s="4"/>
    </row>
    <row r="990" spans="1:8" ht="27.6">
      <c r="A990" s="4">
        <v>252</v>
      </c>
      <c r="B990" s="4" t="s">
        <v>782</v>
      </c>
      <c r="C990" s="4" t="s">
        <v>1925</v>
      </c>
      <c r="D990" s="4" t="s">
        <v>783</v>
      </c>
      <c r="E990" s="4" t="s">
        <v>2954</v>
      </c>
      <c r="F990" s="4" t="s">
        <v>1704</v>
      </c>
      <c r="G990" s="4" t="s">
        <v>226</v>
      </c>
      <c r="H990" s="4" t="s">
        <v>1927</v>
      </c>
    </row>
    <row r="991" spans="1:8">
      <c r="A991" s="4">
        <v>252</v>
      </c>
      <c r="B991" s="4" t="s">
        <v>782</v>
      </c>
      <c r="C991" s="4" t="s">
        <v>1925</v>
      </c>
      <c r="D991" s="4" t="s">
        <v>783</v>
      </c>
      <c r="E991" s="4" t="s">
        <v>2955</v>
      </c>
      <c r="F991" s="4" t="s">
        <v>2956</v>
      </c>
      <c r="G991" s="4"/>
      <c r="H991" s="4"/>
    </row>
    <row r="992" spans="1:8">
      <c r="A992" s="4">
        <v>252</v>
      </c>
      <c r="B992" s="4" t="s">
        <v>782</v>
      </c>
      <c r="C992" s="4" t="s">
        <v>1925</v>
      </c>
      <c r="D992" s="4" t="s">
        <v>783</v>
      </c>
      <c r="E992" s="4" t="s">
        <v>2957</v>
      </c>
      <c r="F992" s="4" t="s">
        <v>2958</v>
      </c>
      <c r="G992" s="4"/>
      <c r="H992" s="4"/>
    </row>
    <row r="993" spans="1:8">
      <c r="A993" s="4">
        <v>252</v>
      </c>
      <c r="B993" s="4" t="s">
        <v>782</v>
      </c>
      <c r="C993" s="4" t="s">
        <v>1930</v>
      </c>
      <c r="D993" s="4" t="s">
        <v>267</v>
      </c>
      <c r="E993" s="4" t="s">
        <v>173</v>
      </c>
      <c r="F993" s="4" t="s">
        <v>1347</v>
      </c>
      <c r="G993" s="4"/>
      <c r="H993" s="4"/>
    </row>
    <row r="994" spans="1:8" ht="27.6">
      <c r="A994" s="4">
        <v>253</v>
      </c>
      <c r="B994" s="4" t="s">
        <v>784</v>
      </c>
      <c r="C994" s="4" t="s">
        <v>1925</v>
      </c>
      <c r="D994" s="4" t="s">
        <v>785</v>
      </c>
      <c r="E994" s="4" t="s">
        <v>2959</v>
      </c>
      <c r="F994" s="4" t="s">
        <v>1705</v>
      </c>
      <c r="G994" s="4" t="s">
        <v>226</v>
      </c>
      <c r="H994" s="4" t="s">
        <v>1927</v>
      </c>
    </row>
    <row r="995" spans="1:8">
      <c r="A995" s="4">
        <v>253</v>
      </c>
      <c r="B995" s="4" t="s">
        <v>784</v>
      </c>
      <c r="C995" s="4" t="s">
        <v>1925</v>
      </c>
      <c r="D995" s="4" t="s">
        <v>785</v>
      </c>
      <c r="E995" s="4" t="s">
        <v>2960</v>
      </c>
      <c r="F995" s="4" t="s">
        <v>2961</v>
      </c>
      <c r="G995" s="4"/>
      <c r="H995" s="4"/>
    </row>
    <row r="996" spans="1:8">
      <c r="A996" s="4">
        <v>253</v>
      </c>
      <c r="B996" s="4" t="s">
        <v>784</v>
      </c>
      <c r="C996" s="4" t="s">
        <v>1930</v>
      </c>
      <c r="D996" s="4" t="s">
        <v>267</v>
      </c>
      <c r="E996" s="4" t="s">
        <v>173</v>
      </c>
      <c r="F996" s="4" t="s">
        <v>1347</v>
      </c>
      <c r="G996" s="4"/>
      <c r="H996" s="4"/>
    </row>
    <row r="997" spans="1:8" ht="27.6">
      <c r="A997" s="4">
        <v>254</v>
      </c>
      <c r="B997" s="4" t="s">
        <v>786</v>
      </c>
      <c r="C997" s="4" t="s">
        <v>1925</v>
      </c>
      <c r="D997" s="4" t="s">
        <v>787</v>
      </c>
      <c r="E997" s="4" t="s">
        <v>2962</v>
      </c>
      <c r="F997" s="4" t="s">
        <v>1706</v>
      </c>
      <c r="G997" s="4" t="s">
        <v>226</v>
      </c>
      <c r="H997" s="4" t="s">
        <v>1927</v>
      </c>
    </row>
    <row r="998" spans="1:8">
      <c r="A998" s="4">
        <v>254</v>
      </c>
      <c r="B998" s="4" t="s">
        <v>786</v>
      </c>
      <c r="C998" s="4" t="s">
        <v>1925</v>
      </c>
      <c r="D998" s="4" t="s">
        <v>787</v>
      </c>
      <c r="E998" s="4" t="s">
        <v>2963</v>
      </c>
      <c r="F998" s="4" t="s">
        <v>2964</v>
      </c>
      <c r="G998" s="4"/>
      <c r="H998" s="4"/>
    </row>
    <row r="999" spans="1:8">
      <c r="A999" s="4">
        <v>254</v>
      </c>
      <c r="B999" s="4" t="s">
        <v>786</v>
      </c>
      <c r="C999" s="4" t="s">
        <v>1925</v>
      </c>
      <c r="D999" s="4" t="s">
        <v>787</v>
      </c>
      <c r="E999" s="4" t="s">
        <v>2965</v>
      </c>
      <c r="F999" s="4" t="s">
        <v>2966</v>
      </c>
      <c r="G999" s="4"/>
      <c r="H999" s="4"/>
    </row>
    <row r="1000" spans="1:8">
      <c r="A1000" s="4">
        <v>254</v>
      </c>
      <c r="B1000" s="4" t="s">
        <v>786</v>
      </c>
      <c r="C1000" s="4" t="s">
        <v>1930</v>
      </c>
      <c r="D1000" s="4" t="s">
        <v>267</v>
      </c>
      <c r="E1000" s="4" t="s">
        <v>173</v>
      </c>
      <c r="F1000" s="4" t="s">
        <v>1347</v>
      </c>
      <c r="G1000" s="4"/>
      <c r="H1000" s="4"/>
    </row>
    <row r="1001" spans="1:8" ht="27.6">
      <c r="A1001" s="4">
        <v>255</v>
      </c>
      <c r="B1001" s="4" t="s">
        <v>788</v>
      </c>
      <c r="C1001" s="4" t="s">
        <v>1925</v>
      </c>
      <c r="D1001" s="4" t="s">
        <v>789</v>
      </c>
      <c r="E1001" s="4" t="s">
        <v>2967</v>
      </c>
      <c r="F1001" s="4" t="s">
        <v>1707</v>
      </c>
      <c r="G1001" s="4" t="s">
        <v>226</v>
      </c>
      <c r="H1001" s="4" t="s">
        <v>1927</v>
      </c>
    </row>
    <row r="1002" spans="1:8">
      <c r="A1002" s="4">
        <v>255</v>
      </c>
      <c r="B1002" s="4" t="s">
        <v>788</v>
      </c>
      <c r="C1002" s="4" t="s">
        <v>1925</v>
      </c>
      <c r="D1002" s="4" t="s">
        <v>789</v>
      </c>
      <c r="E1002" s="4" t="s">
        <v>2968</v>
      </c>
      <c r="F1002" s="4" t="s">
        <v>2969</v>
      </c>
      <c r="G1002" s="4"/>
      <c r="H1002" s="4"/>
    </row>
    <row r="1003" spans="1:8">
      <c r="A1003" s="4">
        <v>255</v>
      </c>
      <c r="B1003" s="4" t="s">
        <v>788</v>
      </c>
      <c r="C1003" s="4" t="s">
        <v>1925</v>
      </c>
      <c r="D1003" s="4" t="s">
        <v>789</v>
      </c>
      <c r="E1003" s="4" t="s">
        <v>2970</v>
      </c>
      <c r="F1003" s="4" t="s">
        <v>2971</v>
      </c>
      <c r="G1003" s="4"/>
      <c r="H1003" s="4"/>
    </row>
    <row r="1004" spans="1:8">
      <c r="A1004" s="4">
        <v>255</v>
      </c>
      <c r="B1004" s="4" t="s">
        <v>788</v>
      </c>
      <c r="C1004" s="4" t="s">
        <v>1930</v>
      </c>
      <c r="D1004" s="4" t="s">
        <v>267</v>
      </c>
      <c r="E1004" s="4" t="s">
        <v>173</v>
      </c>
      <c r="F1004" s="4" t="s">
        <v>1347</v>
      </c>
      <c r="G1004" s="4"/>
      <c r="H1004" s="4"/>
    </row>
    <row r="1005" spans="1:8" ht="27.6">
      <c r="A1005" s="4">
        <v>256</v>
      </c>
      <c r="B1005" s="4" t="s">
        <v>790</v>
      </c>
      <c r="C1005" s="4" t="s">
        <v>1925</v>
      </c>
      <c r="D1005" s="4" t="s">
        <v>791</v>
      </c>
      <c r="E1005" s="4" t="s">
        <v>2972</v>
      </c>
      <c r="F1005" s="4" t="s">
        <v>1708</v>
      </c>
      <c r="G1005" s="4" t="s">
        <v>226</v>
      </c>
      <c r="H1005" s="4" t="s">
        <v>1927</v>
      </c>
    </row>
    <row r="1006" spans="1:8">
      <c r="A1006" s="4">
        <v>256</v>
      </c>
      <c r="B1006" s="4" t="s">
        <v>790</v>
      </c>
      <c r="C1006" s="4" t="s">
        <v>1925</v>
      </c>
      <c r="D1006" s="4" t="s">
        <v>791</v>
      </c>
      <c r="E1006" s="4" t="s">
        <v>2973</v>
      </c>
      <c r="F1006" s="4" t="s">
        <v>2974</v>
      </c>
      <c r="G1006" s="4"/>
      <c r="H1006" s="4"/>
    </row>
    <row r="1007" spans="1:8">
      <c r="A1007" s="4">
        <v>256</v>
      </c>
      <c r="B1007" s="4" t="s">
        <v>790</v>
      </c>
      <c r="C1007" s="4" t="s">
        <v>1930</v>
      </c>
      <c r="D1007" s="4" t="s">
        <v>792</v>
      </c>
      <c r="E1007" s="4" t="s">
        <v>792</v>
      </c>
      <c r="F1007" s="4" t="s">
        <v>1709</v>
      </c>
      <c r="G1007" s="4"/>
      <c r="H1007" s="4"/>
    </row>
    <row r="1008" spans="1:8">
      <c r="A1008" s="4">
        <v>256</v>
      </c>
      <c r="B1008" s="4" t="s">
        <v>790</v>
      </c>
      <c r="C1008" s="4" t="s">
        <v>1936</v>
      </c>
      <c r="D1008" s="4" t="s">
        <v>267</v>
      </c>
      <c r="E1008" s="4" t="s">
        <v>173</v>
      </c>
      <c r="F1008" s="4" t="s">
        <v>1347</v>
      </c>
      <c r="G1008" s="4"/>
      <c r="H1008" s="4"/>
    </row>
    <row r="1009" spans="1:8" ht="27.6">
      <c r="A1009" s="4">
        <v>257</v>
      </c>
      <c r="B1009" s="4" t="s">
        <v>793</v>
      </c>
      <c r="C1009" s="4" t="s">
        <v>1925</v>
      </c>
      <c r="D1009" s="4" t="s">
        <v>794</v>
      </c>
      <c r="E1009" s="4" t="s">
        <v>2975</v>
      </c>
      <c r="F1009" s="4" t="s">
        <v>1710</v>
      </c>
      <c r="G1009" s="4" t="s">
        <v>226</v>
      </c>
      <c r="H1009" s="4" t="s">
        <v>1927</v>
      </c>
    </row>
    <row r="1010" spans="1:8">
      <c r="A1010" s="4">
        <v>257</v>
      </c>
      <c r="B1010" s="4" t="s">
        <v>793</v>
      </c>
      <c r="C1010" s="4" t="s">
        <v>1925</v>
      </c>
      <c r="D1010" s="4" t="s">
        <v>794</v>
      </c>
      <c r="E1010" s="4" t="s">
        <v>2976</v>
      </c>
      <c r="F1010" s="4" t="s">
        <v>2977</v>
      </c>
      <c r="G1010" s="4"/>
      <c r="H1010" s="4"/>
    </row>
    <row r="1011" spans="1:8">
      <c r="A1011" s="4">
        <v>257</v>
      </c>
      <c r="B1011" s="4" t="s">
        <v>793</v>
      </c>
      <c r="C1011" s="4" t="s">
        <v>1925</v>
      </c>
      <c r="D1011" s="4" t="s">
        <v>794</v>
      </c>
      <c r="E1011" s="4" t="s">
        <v>2978</v>
      </c>
      <c r="F1011" s="4" t="s">
        <v>2979</v>
      </c>
      <c r="G1011" s="4"/>
      <c r="H1011" s="4"/>
    </row>
    <row r="1012" spans="1:8">
      <c r="A1012" s="4">
        <v>257</v>
      </c>
      <c r="B1012" s="4" t="s">
        <v>793</v>
      </c>
      <c r="C1012" s="4" t="s">
        <v>1930</v>
      </c>
      <c r="D1012" s="4" t="s">
        <v>267</v>
      </c>
      <c r="E1012" s="4" t="s">
        <v>173</v>
      </c>
      <c r="F1012" s="4" t="s">
        <v>1347</v>
      </c>
      <c r="G1012" s="4"/>
      <c r="H1012" s="4"/>
    </row>
    <row r="1013" spans="1:8" ht="27.6">
      <c r="A1013" s="4">
        <v>258</v>
      </c>
      <c r="B1013" s="4" t="s">
        <v>795</v>
      </c>
      <c r="C1013" s="4" t="s">
        <v>1925</v>
      </c>
      <c r="D1013" s="4" t="s">
        <v>796</v>
      </c>
      <c r="E1013" s="4" t="s">
        <v>2980</v>
      </c>
      <c r="F1013" s="4" t="s">
        <v>1711</v>
      </c>
      <c r="G1013" s="4" t="s">
        <v>226</v>
      </c>
      <c r="H1013" s="4" t="s">
        <v>1927</v>
      </c>
    </row>
    <row r="1014" spans="1:8">
      <c r="A1014" s="4">
        <v>258</v>
      </c>
      <c r="B1014" s="4" t="s">
        <v>795</v>
      </c>
      <c r="C1014" s="4" t="s">
        <v>1925</v>
      </c>
      <c r="D1014" s="4" t="s">
        <v>796</v>
      </c>
      <c r="E1014" s="4" t="s">
        <v>2981</v>
      </c>
      <c r="F1014" s="4" t="s">
        <v>2982</v>
      </c>
      <c r="G1014" s="4"/>
      <c r="H1014" s="4"/>
    </row>
    <row r="1015" spans="1:8">
      <c r="A1015" s="4">
        <v>258</v>
      </c>
      <c r="B1015" s="4" t="s">
        <v>795</v>
      </c>
      <c r="C1015" s="4" t="s">
        <v>1930</v>
      </c>
      <c r="D1015" s="4" t="s">
        <v>267</v>
      </c>
      <c r="E1015" s="4" t="s">
        <v>173</v>
      </c>
      <c r="F1015" s="4" t="s">
        <v>1347</v>
      </c>
      <c r="G1015" s="4"/>
      <c r="H1015" s="4"/>
    </row>
    <row r="1016" spans="1:8" ht="27.6">
      <c r="A1016" s="4">
        <v>259</v>
      </c>
      <c r="B1016" s="4" t="s">
        <v>797</v>
      </c>
      <c r="C1016" s="4" t="s">
        <v>1925</v>
      </c>
      <c r="D1016" s="4" t="s">
        <v>798</v>
      </c>
      <c r="E1016" s="4" t="s">
        <v>2983</v>
      </c>
      <c r="F1016" s="4" t="s">
        <v>1712</v>
      </c>
      <c r="G1016" s="4" t="s">
        <v>226</v>
      </c>
      <c r="H1016" s="4" t="s">
        <v>1927</v>
      </c>
    </row>
    <row r="1017" spans="1:8">
      <c r="A1017" s="4">
        <v>259</v>
      </c>
      <c r="B1017" s="4" t="s">
        <v>797</v>
      </c>
      <c r="C1017" s="4" t="s">
        <v>1925</v>
      </c>
      <c r="D1017" s="4" t="s">
        <v>798</v>
      </c>
      <c r="E1017" s="4" t="s">
        <v>2984</v>
      </c>
      <c r="F1017" s="4" t="s">
        <v>2985</v>
      </c>
      <c r="G1017" s="4"/>
      <c r="H1017" s="4"/>
    </row>
    <row r="1018" spans="1:8">
      <c r="A1018" s="4">
        <v>259</v>
      </c>
      <c r="B1018" s="4" t="s">
        <v>797</v>
      </c>
      <c r="C1018" s="4" t="s">
        <v>1925</v>
      </c>
      <c r="D1018" s="4" t="s">
        <v>798</v>
      </c>
      <c r="E1018" s="4" t="s">
        <v>2986</v>
      </c>
      <c r="F1018" s="4" t="s">
        <v>2987</v>
      </c>
      <c r="G1018" s="4"/>
      <c r="H1018" s="4"/>
    </row>
    <row r="1019" spans="1:8">
      <c r="A1019" s="4">
        <v>259</v>
      </c>
      <c r="B1019" s="4" t="s">
        <v>797</v>
      </c>
      <c r="C1019" s="4" t="s">
        <v>1930</v>
      </c>
      <c r="D1019" s="4" t="s">
        <v>799</v>
      </c>
      <c r="E1019" s="4" t="s">
        <v>799</v>
      </c>
      <c r="F1019" s="4" t="s">
        <v>1713</v>
      </c>
      <c r="G1019" s="4"/>
      <c r="H1019" s="4"/>
    </row>
    <row r="1020" spans="1:8">
      <c r="A1020" s="4">
        <v>259</v>
      </c>
      <c r="B1020" s="4" t="s">
        <v>797</v>
      </c>
      <c r="C1020" s="4" t="s">
        <v>1936</v>
      </c>
      <c r="D1020" s="4" t="s">
        <v>267</v>
      </c>
      <c r="E1020" s="4" t="s">
        <v>173</v>
      </c>
      <c r="F1020" s="4" t="s">
        <v>1347</v>
      </c>
      <c r="G1020" s="4"/>
      <c r="H1020" s="4"/>
    </row>
    <row r="1021" spans="1:8" ht="27.6">
      <c r="A1021" s="4">
        <v>260</v>
      </c>
      <c r="B1021" s="4" t="s">
        <v>800</v>
      </c>
      <c r="C1021" s="4" t="s">
        <v>1925</v>
      </c>
      <c r="D1021" s="4" t="s">
        <v>801</v>
      </c>
      <c r="E1021" s="4" t="s">
        <v>2988</v>
      </c>
      <c r="F1021" s="4" t="s">
        <v>1714</v>
      </c>
      <c r="G1021" s="4" t="s">
        <v>604</v>
      </c>
      <c r="H1021" s="4" t="s">
        <v>1927</v>
      </c>
    </row>
    <row r="1022" spans="1:8">
      <c r="A1022" s="4">
        <v>260</v>
      </c>
      <c r="B1022" s="4" t="s">
        <v>800</v>
      </c>
      <c r="C1022" s="4" t="s">
        <v>1925</v>
      </c>
      <c r="D1022" s="4" t="s">
        <v>801</v>
      </c>
      <c r="E1022" s="4" t="s">
        <v>2989</v>
      </c>
      <c r="F1022" s="4" t="s">
        <v>2990</v>
      </c>
      <c r="G1022" s="4"/>
      <c r="H1022" s="4"/>
    </row>
    <row r="1023" spans="1:8">
      <c r="A1023" s="4">
        <v>260</v>
      </c>
      <c r="B1023" s="4" t="s">
        <v>800</v>
      </c>
      <c r="C1023" s="4" t="s">
        <v>1930</v>
      </c>
      <c r="D1023" s="4" t="s">
        <v>603</v>
      </c>
      <c r="E1023" s="4" t="s">
        <v>608</v>
      </c>
      <c r="F1023" s="4" t="s">
        <v>1600</v>
      </c>
      <c r="G1023" s="4"/>
      <c r="H1023" s="4"/>
    </row>
    <row r="1024" spans="1:8" ht="27.6">
      <c r="A1024" s="4">
        <v>261</v>
      </c>
      <c r="B1024" s="4" t="s">
        <v>802</v>
      </c>
      <c r="C1024" s="4" t="s">
        <v>1925</v>
      </c>
      <c r="D1024" s="4" t="s">
        <v>803</v>
      </c>
      <c r="E1024" s="4" t="s">
        <v>2991</v>
      </c>
      <c r="F1024" s="4" t="s">
        <v>1715</v>
      </c>
      <c r="G1024" s="4" t="s">
        <v>604</v>
      </c>
      <c r="H1024" s="4" t="s">
        <v>1927</v>
      </c>
    </row>
    <row r="1025" spans="1:8">
      <c r="A1025" s="4">
        <v>261</v>
      </c>
      <c r="B1025" s="4" t="s">
        <v>802</v>
      </c>
      <c r="C1025" s="4" t="s">
        <v>1925</v>
      </c>
      <c r="D1025" s="4" t="s">
        <v>803</v>
      </c>
      <c r="E1025" s="4" t="s">
        <v>2992</v>
      </c>
      <c r="F1025" s="4" t="s">
        <v>2993</v>
      </c>
      <c r="G1025" s="4"/>
      <c r="H1025" s="4"/>
    </row>
    <row r="1026" spans="1:8">
      <c r="A1026" s="4">
        <v>261</v>
      </c>
      <c r="B1026" s="4" t="s">
        <v>802</v>
      </c>
      <c r="C1026" s="4" t="s">
        <v>1925</v>
      </c>
      <c r="D1026" s="4" t="s">
        <v>803</v>
      </c>
      <c r="E1026" s="4" t="s">
        <v>2994</v>
      </c>
      <c r="F1026" s="4" t="s">
        <v>2995</v>
      </c>
      <c r="G1026" s="4"/>
      <c r="H1026" s="4"/>
    </row>
    <row r="1027" spans="1:8">
      <c r="A1027" s="4">
        <v>261</v>
      </c>
      <c r="B1027" s="4" t="s">
        <v>802</v>
      </c>
      <c r="C1027" s="4" t="s">
        <v>1930</v>
      </c>
      <c r="D1027" s="4" t="s">
        <v>603</v>
      </c>
      <c r="E1027" s="4" t="s">
        <v>608</v>
      </c>
      <c r="F1027" s="4" t="s">
        <v>1600</v>
      </c>
      <c r="G1027" s="4"/>
      <c r="H1027" s="4"/>
    </row>
    <row r="1028" spans="1:8" ht="27.6">
      <c r="A1028" s="4">
        <v>262</v>
      </c>
      <c r="B1028" s="4" t="s">
        <v>804</v>
      </c>
      <c r="C1028" s="4" t="s">
        <v>1925</v>
      </c>
      <c r="D1028" s="4" t="s">
        <v>805</v>
      </c>
      <c r="E1028" s="4" t="s">
        <v>2996</v>
      </c>
      <c r="F1028" s="4" t="s">
        <v>1716</v>
      </c>
      <c r="G1028" s="4" t="s">
        <v>604</v>
      </c>
      <c r="H1028" s="4" t="s">
        <v>1927</v>
      </c>
    </row>
    <row r="1029" spans="1:8">
      <c r="A1029" s="4">
        <v>262</v>
      </c>
      <c r="B1029" s="4" t="s">
        <v>804</v>
      </c>
      <c r="C1029" s="4" t="s">
        <v>1925</v>
      </c>
      <c r="D1029" s="4" t="s">
        <v>805</v>
      </c>
      <c r="E1029" s="4" t="s">
        <v>2997</v>
      </c>
      <c r="F1029" s="4" t="s">
        <v>2998</v>
      </c>
      <c r="G1029" s="4"/>
      <c r="H1029" s="4"/>
    </row>
    <row r="1030" spans="1:8">
      <c r="A1030" s="4">
        <v>262</v>
      </c>
      <c r="B1030" s="4" t="s">
        <v>804</v>
      </c>
      <c r="C1030" s="4" t="s">
        <v>1930</v>
      </c>
      <c r="D1030" s="4" t="s">
        <v>806</v>
      </c>
      <c r="E1030" s="4" t="s">
        <v>806</v>
      </c>
      <c r="F1030" s="4" t="s">
        <v>1717</v>
      </c>
      <c r="G1030" s="4"/>
      <c r="H1030" s="4"/>
    </row>
    <row r="1031" spans="1:8">
      <c r="A1031" s="4">
        <v>262</v>
      </c>
      <c r="B1031" s="4" t="s">
        <v>804</v>
      </c>
      <c r="C1031" s="4" t="s">
        <v>1936</v>
      </c>
      <c r="D1031" s="4" t="s">
        <v>603</v>
      </c>
      <c r="E1031" s="4" t="s">
        <v>608</v>
      </c>
      <c r="F1031" s="4" t="s">
        <v>1600</v>
      </c>
      <c r="G1031" s="4"/>
      <c r="H1031" s="4"/>
    </row>
    <row r="1032" spans="1:8" ht="27.6">
      <c r="A1032" s="4">
        <v>263</v>
      </c>
      <c r="B1032" s="4" t="s">
        <v>807</v>
      </c>
      <c r="C1032" s="4" t="s">
        <v>1925</v>
      </c>
      <c r="D1032" s="4" t="s">
        <v>808</v>
      </c>
      <c r="E1032" s="4" t="s">
        <v>2999</v>
      </c>
      <c r="F1032" s="4" t="s">
        <v>1718</v>
      </c>
      <c r="G1032" s="4" t="s">
        <v>604</v>
      </c>
      <c r="H1032" s="4" t="s">
        <v>1927</v>
      </c>
    </row>
    <row r="1033" spans="1:8">
      <c r="A1033" s="4">
        <v>263</v>
      </c>
      <c r="B1033" s="4" t="s">
        <v>807</v>
      </c>
      <c r="C1033" s="4" t="s">
        <v>1925</v>
      </c>
      <c r="D1033" s="4" t="s">
        <v>808</v>
      </c>
      <c r="E1033" s="4" t="s">
        <v>3000</v>
      </c>
      <c r="F1033" s="4" t="s">
        <v>3001</v>
      </c>
      <c r="G1033" s="4"/>
      <c r="H1033" s="4"/>
    </row>
    <row r="1034" spans="1:8">
      <c r="A1034" s="4">
        <v>263</v>
      </c>
      <c r="B1034" s="4" t="s">
        <v>807</v>
      </c>
      <c r="C1034" s="4" t="s">
        <v>1925</v>
      </c>
      <c r="D1034" s="4" t="s">
        <v>808</v>
      </c>
      <c r="E1034" s="4" t="s">
        <v>3002</v>
      </c>
      <c r="F1034" s="4" t="s">
        <v>3003</v>
      </c>
      <c r="G1034" s="4"/>
      <c r="H1034" s="4"/>
    </row>
    <row r="1035" spans="1:8">
      <c r="A1035" s="4">
        <v>263</v>
      </c>
      <c r="B1035" s="4" t="s">
        <v>807</v>
      </c>
      <c r="C1035" s="4" t="s">
        <v>1930</v>
      </c>
      <c r="D1035" s="4" t="s">
        <v>603</v>
      </c>
      <c r="E1035" s="4" t="s">
        <v>608</v>
      </c>
      <c r="F1035" s="4" t="s">
        <v>1600</v>
      </c>
      <c r="G1035" s="4"/>
      <c r="H1035" s="4"/>
    </row>
    <row r="1036" spans="1:8" ht="27.6">
      <c r="A1036" s="4">
        <v>264</v>
      </c>
      <c r="B1036" s="4" t="s">
        <v>809</v>
      </c>
      <c r="C1036" s="4" t="s">
        <v>1925</v>
      </c>
      <c r="D1036" s="4" t="s">
        <v>810</v>
      </c>
      <c r="E1036" s="4" t="s">
        <v>3004</v>
      </c>
      <c r="F1036" s="4" t="s">
        <v>1719</v>
      </c>
      <c r="G1036" s="4" t="s">
        <v>604</v>
      </c>
      <c r="H1036" s="4" t="s">
        <v>1927</v>
      </c>
    </row>
    <row r="1037" spans="1:8">
      <c r="A1037" s="4">
        <v>264</v>
      </c>
      <c r="B1037" s="4" t="s">
        <v>809</v>
      </c>
      <c r="C1037" s="4" t="s">
        <v>1925</v>
      </c>
      <c r="D1037" s="4" t="s">
        <v>810</v>
      </c>
      <c r="E1037" s="4" t="s">
        <v>3005</v>
      </c>
      <c r="F1037" s="4" t="s">
        <v>3006</v>
      </c>
      <c r="G1037" s="4"/>
      <c r="H1037" s="4"/>
    </row>
    <row r="1038" spans="1:8">
      <c r="A1038" s="4">
        <v>264</v>
      </c>
      <c r="B1038" s="4" t="s">
        <v>809</v>
      </c>
      <c r="C1038" s="4" t="s">
        <v>1930</v>
      </c>
      <c r="D1038" s="4" t="s">
        <v>603</v>
      </c>
      <c r="E1038" s="4" t="s">
        <v>608</v>
      </c>
      <c r="F1038" s="4" t="s">
        <v>1600</v>
      </c>
      <c r="G1038" s="4"/>
      <c r="H1038" s="4"/>
    </row>
    <row r="1039" spans="1:8" ht="27.6">
      <c r="A1039" s="4">
        <v>265</v>
      </c>
      <c r="B1039" s="4" t="s">
        <v>811</v>
      </c>
      <c r="C1039" s="4" t="s">
        <v>1925</v>
      </c>
      <c r="D1039" s="4" t="s">
        <v>812</v>
      </c>
      <c r="E1039" s="4" t="s">
        <v>3007</v>
      </c>
      <c r="F1039" s="4" t="s">
        <v>1720</v>
      </c>
      <c r="G1039" s="4" t="s">
        <v>814</v>
      </c>
      <c r="H1039" s="4" t="s">
        <v>1927</v>
      </c>
    </row>
    <row r="1040" spans="1:8">
      <c r="A1040" s="4">
        <v>265</v>
      </c>
      <c r="B1040" s="4" t="s">
        <v>811</v>
      </c>
      <c r="C1040" s="4" t="s">
        <v>1925</v>
      </c>
      <c r="D1040" s="4" t="s">
        <v>812</v>
      </c>
      <c r="E1040" s="4" t="s">
        <v>3008</v>
      </c>
      <c r="F1040" s="4" t="s">
        <v>3009</v>
      </c>
      <c r="G1040" s="4"/>
      <c r="H1040" s="4"/>
    </row>
    <row r="1041" spans="1:8">
      <c r="A1041" s="4">
        <v>265</v>
      </c>
      <c r="B1041" s="4" t="s">
        <v>811</v>
      </c>
      <c r="C1041" s="4" t="s">
        <v>1925</v>
      </c>
      <c r="D1041" s="4" t="s">
        <v>812</v>
      </c>
      <c r="E1041" s="4" t="s">
        <v>3010</v>
      </c>
      <c r="F1041" s="4" t="s">
        <v>3011</v>
      </c>
      <c r="G1041" s="4"/>
      <c r="H1041" s="4"/>
    </row>
    <row r="1042" spans="1:8">
      <c r="A1042" s="4">
        <v>265</v>
      </c>
      <c r="B1042" s="4" t="s">
        <v>811</v>
      </c>
      <c r="C1042" s="4" t="s">
        <v>1930</v>
      </c>
      <c r="D1042" s="4" t="s">
        <v>813</v>
      </c>
      <c r="E1042" s="4" t="s">
        <v>813</v>
      </c>
      <c r="F1042" s="4" t="s">
        <v>1721</v>
      </c>
      <c r="G1042" s="4"/>
      <c r="H1042" s="4"/>
    </row>
    <row r="1043" spans="1:8" ht="27.6">
      <c r="A1043" s="4">
        <v>266</v>
      </c>
      <c r="B1043" s="4" t="s">
        <v>816</v>
      </c>
      <c r="C1043" s="4" t="s">
        <v>1925</v>
      </c>
      <c r="D1043" s="4" t="s">
        <v>817</v>
      </c>
      <c r="E1043" s="4" t="s">
        <v>3012</v>
      </c>
      <c r="F1043" s="4" t="s">
        <v>1722</v>
      </c>
      <c r="G1043" s="4" t="s">
        <v>34</v>
      </c>
      <c r="H1043" s="4" t="s">
        <v>1927</v>
      </c>
    </row>
    <row r="1044" spans="1:8">
      <c r="A1044" s="4">
        <v>266</v>
      </c>
      <c r="B1044" s="4" t="s">
        <v>816</v>
      </c>
      <c r="C1044" s="4" t="s">
        <v>1925</v>
      </c>
      <c r="D1044" s="4" t="s">
        <v>817</v>
      </c>
      <c r="E1044" s="4" t="s">
        <v>3013</v>
      </c>
      <c r="F1044" s="4" t="s">
        <v>3014</v>
      </c>
      <c r="G1044" s="4"/>
      <c r="H1044" s="4"/>
    </row>
    <row r="1045" spans="1:8">
      <c r="A1045" s="4">
        <v>266</v>
      </c>
      <c r="B1045" s="4" t="s">
        <v>816</v>
      </c>
      <c r="C1045" s="4" t="s">
        <v>1925</v>
      </c>
      <c r="D1045" s="4" t="s">
        <v>817</v>
      </c>
      <c r="E1045" s="4" t="s">
        <v>3015</v>
      </c>
      <c r="F1045" s="4" t="s">
        <v>3016</v>
      </c>
      <c r="G1045" s="4"/>
      <c r="H1045" s="4"/>
    </row>
    <row r="1046" spans="1:8">
      <c r="A1046" s="4">
        <v>266</v>
      </c>
      <c r="B1046" s="4" t="s">
        <v>816</v>
      </c>
      <c r="C1046" s="4" t="s">
        <v>1930</v>
      </c>
      <c r="D1046" s="4" t="s">
        <v>818</v>
      </c>
      <c r="E1046" s="4" t="s">
        <v>818</v>
      </c>
      <c r="F1046" s="4" t="s">
        <v>1723</v>
      </c>
      <c r="G1046" s="4"/>
      <c r="H1046" s="4"/>
    </row>
    <row r="1047" spans="1:8" ht="27.6">
      <c r="A1047" s="4">
        <v>267</v>
      </c>
      <c r="B1047" s="4" t="s">
        <v>819</v>
      </c>
      <c r="C1047" s="4" t="s">
        <v>1925</v>
      </c>
      <c r="D1047" s="4" t="s">
        <v>820</v>
      </c>
      <c r="E1047" s="4" t="s">
        <v>3017</v>
      </c>
      <c r="F1047" s="4" t="s">
        <v>1724</v>
      </c>
      <c r="G1047" s="4" t="s">
        <v>34</v>
      </c>
      <c r="H1047" s="4" t="s">
        <v>1927</v>
      </c>
    </row>
    <row r="1048" spans="1:8">
      <c r="A1048" s="4">
        <v>267</v>
      </c>
      <c r="B1048" s="4" t="s">
        <v>819</v>
      </c>
      <c r="C1048" s="4" t="s">
        <v>1925</v>
      </c>
      <c r="D1048" s="4" t="s">
        <v>820</v>
      </c>
      <c r="E1048" s="4" t="s">
        <v>3018</v>
      </c>
      <c r="F1048" s="4" t="s">
        <v>3019</v>
      </c>
      <c r="G1048" s="4"/>
      <c r="H1048" s="4"/>
    </row>
    <row r="1049" spans="1:8">
      <c r="A1049" s="4">
        <v>267</v>
      </c>
      <c r="B1049" s="4" t="s">
        <v>819</v>
      </c>
      <c r="C1049" s="4" t="s">
        <v>1930</v>
      </c>
      <c r="D1049" s="4" t="s">
        <v>821</v>
      </c>
      <c r="E1049" s="4" t="s">
        <v>821</v>
      </c>
      <c r="F1049" s="4" t="s">
        <v>1725</v>
      </c>
      <c r="G1049" s="4"/>
      <c r="H1049" s="4"/>
    </row>
    <row r="1050" spans="1:8" ht="27.6">
      <c r="A1050" s="4">
        <v>268</v>
      </c>
      <c r="B1050" s="4" t="s">
        <v>822</v>
      </c>
      <c r="C1050" s="4" t="s">
        <v>1925</v>
      </c>
      <c r="D1050" s="4" t="s">
        <v>823</v>
      </c>
      <c r="E1050" s="4" t="s">
        <v>3020</v>
      </c>
      <c r="F1050" s="4" t="s">
        <v>1726</v>
      </c>
      <c r="G1050" s="4" t="s">
        <v>211</v>
      </c>
      <c r="H1050" s="4" t="s">
        <v>1927</v>
      </c>
    </row>
    <row r="1051" spans="1:8">
      <c r="A1051" s="4">
        <v>268</v>
      </c>
      <c r="B1051" s="4" t="s">
        <v>822</v>
      </c>
      <c r="C1051" s="4" t="s">
        <v>1925</v>
      </c>
      <c r="D1051" s="4" t="s">
        <v>823</v>
      </c>
      <c r="E1051" s="4" t="s">
        <v>3021</v>
      </c>
      <c r="F1051" s="4" t="s">
        <v>3022</v>
      </c>
      <c r="G1051" s="4"/>
      <c r="H1051" s="4"/>
    </row>
    <row r="1052" spans="1:8">
      <c r="A1052" s="4">
        <v>268</v>
      </c>
      <c r="B1052" s="4" t="s">
        <v>822</v>
      </c>
      <c r="C1052" s="4" t="s">
        <v>1925</v>
      </c>
      <c r="D1052" s="4" t="s">
        <v>823</v>
      </c>
      <c r="E1052" s="4" t="s">
        <v>3023</v>
      </c>
      <c r="F1052" s="4" t="s">
        <v>3024</v>
      </c>
      <c r="G1052" s="4"/>
      <c r="H1052" s="4"/>
    </row>
    <row r="1053" spans="1:8">
      <c r="A1053" s="4">
        <v>268</v>
      </c>
      <c r="B1053" s="4" t="s">
        <v>822</v>
      </c>
      <c r="C1053" s="4" t="s">
        <v>1930</v>
      </c>
      <c r="D1053" s="4" t="s">
        <v>824</v>
      </c>
      <c r="E1053" s="4" t="s">
        <v>824</v>
      </c>
      <c r="F1053" s="4" t="s">
        <v>1727</v>
      </c>
      <c r="G1053" s="4"/>
      <c r="H1053" s="4"/>
    </row>
    <row r="1054" spans="1:8">
      <c r="A1054" s="4">
        <v>268</v>
      </c>
      <c r="B1054" s="4" t="s">
        <v>822</v>
      </c>
      <c r="C1054" s="4" t="s">
        <v>1936</v>
      </c>
      <c r="D1054" s="4" t="s">
        <v>342</v>
      </c>
      <c r="E1054" s="4" t="s">
        <v>1068</v>
      </c>
      <c r="F1054" s="4" t="s">
        <v>1444</v>
      </c>
      <c r="G1054" s="4"/>
      <c r="H1054" s="4"/>
    </row>
    <row r="1055" spans="1:8" ht="27.6">
      <c r="A1055" s="4">
        <v>269</v>
      </c>
      <c r="B1055" s="4" t="s">
        <v>825</v>
      </c>
      <c r="C1055" s="4" t="s">
        <v>1925</v>
      </c>
      <c r="D1055" s="4" t="s">
        <v>826</v>
      </c>
      <c r="E1055" s="4" t="s">
        <v>3025</v>
      </c>
      <c r="F1055" s="4" t="s">
        <v>1728</v>
      </c>
      <c r="G1055" s="4" t="s">
        <v>211</v>
      </c>
      <c r="H1055" s="4" t="s">
        <v>1927</v>
      </c>
    </row>
    <row r="1056" spans="1:8">
      <c r="A1056" s="4">
        <v>269</v>
      </c>
      <c r="B1056" s="4" t="s">
        <v>825</v>
      </c>
      <c r="C1056" s="4" t="s">
        <v>1925</v>
      </c>
      <c r="D1056" s="4" t="s">
        <v>826</v>
      </c>
      <c r="E1056" s="4" t="s">
        <v>3026</v>
      </c>
      <c r="F1056" s="4" t="s">
        <v>3027</v>
      </c>
      <c r="G1056" s="4"/>
      <c r="H1056" s="4"/>
    </row>
    <row r="1057" spans="1:8">
      <c r="A1057" s="4">
        <v>269</v>
      </c>
      <c r="B1057" s="4" t="s">
        <v>825</v>
      </c>
      <c r="C1057" s="4" t="s">
        <v>1930</v>
      </c>
      <c r="D1057" s="4" t="s">
        <v>827</v>
      </c>
      <c r="E1057" s="4" t="s">
        <v>827</v>
      </c>
      <c r="F1057" s="4" t="s">
        <v>1729</v>
      </c>
      <c r="G1057" s="4"/>
      <c r="H1057" s="4"/>
    </row>
    <row r="1058" spans="1:8" ht="27.6">
      <c r="A1058" s="4">
        <v>270</v>
      </c>
      <c r="B1058" s="4" t="s">
        <v>828</v>
      </c>
      <c r="C1058" s="4" t="s">
        <v>1925</v>
      </c>
      <c r="D1058" s="4" t="s">
        <v>829</v>
      </c>
      <c r="E1058" s="4" t="s">
        <v>3028</v>
      </c>
      <c r="F1058" s="4" t="s">
        <v>1730</v>
      </c>
      <c r="G1058" s="4" t="s">
        <v>211</v>
      </c>
      <c r="H1058" s="4" t="s">
        <v>1927</v>
      </c>
    </row>
    <row r="1059" spans="1:8">
      <c r="A1059" s="4">
        <v>270</v>
      </c>
      <c r="B1059" s="4" t="s">
        <v>828</v>
      </c>
      <c r="C1059" s="4" t="s">
        <v>1925</v>
      </c>
      <c r="D1059" s="4" t="s">
        <v>829</v>
      </c>
      <c r="E1059" s="4" t="s">
        <v>3029</v>
      </c>
      <c r="F1059" s="4" t="s">
        <v>3030</v>
      </c>
      <c r="G1059" s="4"/>
      <c r="H1059" s="4"/>
    </row>
    <row r="1060" spans="1:8">
      <c r="A1060" s="4">
        <v>270</v>
      </c>
      <c r="B1060" s="4" t="s">
        <v>828</v>
      </c>
      <c r="C1060" s="4" t="s">
        <v>1925</v>
      </c>
      <c r="D1060" s="4" t="s">
        <v>829</v>
      </c>
      <c r="E1060" s="4" t="s">
        <v>3031</v>
      </c>
      <c r="F1060" s="4" t="s">
        <v>3032</v>
      </c>
      <c r="G1060" s="4"/>
      <c r="H1060" s="4"/>
    </row>
    <row r="1061" spans="1:8">
      <c r="A1061" s="4">
        <v>270</v>
      </c>
      <c r="B1061" s="4" t="s">
        <v>828</v>
      </c>
      <c r="C1061" s="4" t="s">
        <v>1930</v>
      </c>
      <c r="D1061" s="4" t="s">
        <v>830</v>
      </c>
      <c r="E1061" s="4" t="s">
        <v>830</v>
      </c>
      <c r="F1061" s="4" t="s">
        <v>1731</v>
      </c>
      <c r="G1061" s="4"/>
      <c r="H1061" s="4"/>
    </row>
    <row r="1062" spans="1:8">
      <c r="A1062" s="4">
        <v>270</v>
      </c>
      <c r="B1062" s="4" t="s">
        <v>828</v>
      </c>
      <c r="C1062" s="4" t="s">
        <v>1936</v>
      </c>
      <c r="D1062" s="4" t="s">
        <v>342</v>
      </c>
      <c r="E1062" s="4" t="s">
        <v>1068</v>
      </c>
      <c r="F1062" s="4" t="s">
        <v>1444</v>
      </c>
      <c r="G1062" s="4"/>
      <c r="H1062" s="4"/>
    </row>
    <row r="1063" spans="1:8" ht="27.6">
      <c r="A1063" s="4">
        <v>271</v>
      </c>
      <c r="B1063" s="4" t="s">
        <v>831</v>
      </c>
      <c r="C1063" s="4" t="s">
        <v>1925</v>
      </c>
      <c r="D1063" s="4" t="s">
        <v>832</v>
      </c>
      <c r="E1063" s="4" t="s">
        <v>3033</v>
      </c>
      <c r="F1063" s="4" t="s">
        <v>1732</v>
      </c>
      <c r="G1063" s="4" t="s">
        <v>211</v>
      </c>
      <c r="H1063" s="4" t="s">
        <v>1927</v>
      </c>
    </row>
    <row r="1064" spans="1:8">
      <c r="A1064" s="4">
        <v>271</v>
      </c>
      <c r="B1064" s="4" t="s">
        <v>831</v>
      </c>
      <c r="C1064" s="4" t="s">
        <v>1925</v>
      </c>
      <c r="D1064" s="4" t="s">
        <v>832</v>
      </c>
      <c r="E1064" s="4" t="s">
        <v>3034</v>
      </c>
      <c r="F1064" s="4" t="s">
        <v>3035</v>
      </c>
      <c r="G1064" s="4"/>
      <c r="H1064" s="4"/>
    </row>
    <row r="1065" spans="1:8">
      <c r="A1065" s="4">
        <v>271</v>
      </c>
      <c r="B1065" s="4" t="s">
        <v>831</v>
      </c>
      <c r="C1065" s="4" t="s">
        <v>1930</v>
      </c>
      <c r="D1065" s="4" t="s">
        <v>833</v>
      </c>
      <c r="E1065" s="4" t="s">
        <v>833</v>
      </c>
      <c r="F1065" s="4" t="s">
        <v>1733</v>
      </c>
      <c r="G1065" s="4"/>
      <c r="H1065" s="4"/>
    </row>
    <row r="1066" spans="1:8">
      <c r="A1066" s="4">
        <v>271</v>
      </c>
      <c r="B1066" s="4" t="s">
        <v>831</v>
      </c>
      <c r="C1066" s="4" t="s">
        <v>1936</v>
      </c>
      <c r="D1066" s="4" t="s">
        <v>342</v>
      </c>
      <c r="E1066" s="4" t="s">
        <v>1068</v>
      </c>
      <c r="F1066" s="4" t="s">
        <v>1444</v>
      </c>
      <c r="G1066" s="4"/>
      <c r="H1066" s="4"/>
    </row>
    <row r="1067" spans="1:8" ht="27.6">
      <c r="A1067" s="4">
        <v>272</v>
      </c>
      <c r="B1067" s="4" t="s">
        <v>834</v>
      </c>
      <c r="C1067" s="4" t="s">
        <v>1925</v>
      </c>
      <c r="D1067" s="4" t="s">
        <v>835</v>
      </c>
      <c r="E1067" s="4" t="s">
        <v>3036</v>
      </c>
      <c r="F1067" s="4" t="s">
        <v>1734</v>
      </c>
      <c r="G1067" s="4" t="s">
        <v>211</v>
      </c>
      <c r="H1067" s="4" t="s">
        <v>1927</v>
      </c>
    </row>
    <row r="1068" spans="1:8">
      <c r="A1068" s="4">
        <v>272</v>
      </c>
      <c r="B1068" s="4" t="s">
        <v>834</v>
      </c>
      <c r="C1068" s="4" t="s">
        <v>1925</v>
      </c>
      <c r="D1068" s="4" t="s">
        <v>835</v>
      </c>
      <c r="E1068" s="4" t="s">
        <v>3037</v>
      </c>
      <c r="F1068" s="4" t="s">
        <v>3038</v>
      </c>
      <c r="G1068" s="4"/>
      <c r="H1068" s="4"/>
    </row>
    <row r="1069" spans="1:8">
      <c r="A1069" s="4">
        <v>272</v>
      </c>
      <c r="B1069" s="4" t="s">
        <v>834</v>
      </c>
      <c r="C1069" s="4" t="s">
        <v>1925</v>
      </c>
      <c r="D1069" s="4" t="s">
        <v>835</v>
      </c>
      <c r="E1069" s="4" t="s">
        <v>3039</v>
      </c>
      <c r="F1069" s="4" t="s">
        <v>3040</v>
      </c>
      <c r="G1069" s="4"/>
      <c r="H1069" s="4"/>
    </row>
    <row r="1070" spans="1:8">
      <c r="A1070" s="4">
        <v>272</v>
      </c>
      <c r="B1070" s="4" t="s">
        <v>834</v>
      </c>
      <c r="C1070" s="4" t="s">
        <v>1930</v>
      </c>
      <c r="D1070" s="4" t="s">
        <v>836</v>
      </c>
      <c r="E1070" s="4" t="s">
        <v>836</v>
      </c>
      <c r="F1070" s="4" t="s">
        <v>1735</v>
      </c>
      <c r="G1070" s="4"/>
      <c r="H1070" s="4"/>
    </row>
    <row r="1071" spans="1:8" ht="27.6">
      <c r="A1071" s="4">
        <v>273</v>
      </c>
      <c r="B1071" s="4" t="s">
        <v>837</v>
      </c>
      <c r="C1071" s="4" t="s">
        <v>1925</v>
      </c>
      <c r="D1071" s="4" t="s">
        <v>838</v>
      </c>
      <c r="E1071" s="4" t="s">
        <v>3041</v>
      </c>
      <c r="F1071" s="4" t="s">
        <v>1736</v>
      </c>
      <c r="G1071" s="4" t="s">
        <v>841</v>
      </c>
      <c r="H1071" s="4" t="s">
        <v>1927</v>
      </c>
    </row>
    <row r="1072" spans="1:8">
      <c r="A1072" s="4">
        <v>273</v>
      </c>
      <c r="B1072" s="4" t="s">
        <v>837</v>
      </c>
      <c r="C1072" s="4" t="s">
        <v>1925</v>
      </c>
      <c r="D1072" s="4" t="s">
        <v>838</v>
      </c>
      <c r="E1072" s="4" t="s">
        <v>3042</v>
      </c>
      <c r="F1072" s="4" t="s">
        <v>3043</v>
      </c>
      <c r="G1072" s="4"/>
      <c r="H1072" s="4"/>
    </row>
    <row r="1073" spans="1:8">
      <c r="A1073" s="4">
        <v>273</v>
      </c>
      <c r="B1073" s="4" t="s">
        <v>837</v>
      </c>
      <c r="C1073" s="4" t="s">
        <v>1930</v>
      </c>
      <c r="D1073" s="4" t="s">
        <v>839</v>
      </c>
      <c r="E1073" s="4" t="s">
        <v>839</v>
      </c>
      <c r="F1073" s="4" t="s">
        <v>1737</v>
      </c>
      <c r="G1073" s="4"/>
      <c r="H1073" s="4"/>
    </row>
    <row r="1074" spans="1:8">
      <c r="A1074" s="4">
        <v>273</v>
      </c>
      <c r="B1074" s="4" t="s">
        <v>837</v>
      </c>
      <c r="C1074" s="4" t="s">
        <v>1936</v>
      </c>
      <c r="D1074" s="4" t="s">
        <v>840</v>
      </c>
      <c r="E1074" s="4" t="s">
        <v>1071</v>
      </c>
      <c r="F1074" s="4" t="s">
        <v>1738</v>
      </c>
      <c r="G1074" s="4"/>
      <c r="H1074" s="4"/>
    </row>
    <row r="1075" spans="1:8" ht="27.6">
      <c r="A1075" s="4">
        <v>274</v>
      </c>
      <c r="B1075" s="4" t="s">
        <v>843</v>
      </c>
      <c r="C1075" s="4" t="s">
        <v>1925</v>
      </c>
      <c r="D1075" s="4" t="s">
        <v>844</v>
      </c>
      <c r="E1075" s="4" t="s">
        <v>3044</v>
      </c>
      <c r="F1075" s="4" t="s">
        <v>1739</v>
      </c>
      <c r="G1075" s="4" t="s">
        <v>39</v>
      </c>
      <c r="H1075" s="4" t="s">
        <v>1927</v>
      </c>
    </row>
    <row r="1076" spans="1:8">
      <c r="A1076" s="4">
        <v>274</v>
      </c>
      <c r="B1076" s="4" t="s">
        <v>843</v>
      </c>
      <c r="C1076" s="4" t="s">
        <v>1925</v>
      </c>
      <c r="D1076" s="4" t="s">
        <v>844</v>
      </c>
      <c r="E1076" s="4" t="s">
        <v>3045</v>
      </c>
      <c r="F1076" s="4" t="s">
        <v>3046</v>
      </c>
      <c r="G1076" s="4"/>
      <c r="H1076" s="4"/>
    </row>
    <row r="1077" spans="1:8">
      <c r="A1077" s="4">
        <v>274</v>
      </c>
      <c r="B1077" s="4" t="s">
        <v>843</v>
      </c>
      <c r="C1077" s="4" t="s">
        <v>1925</v>
      </c>
      <c r="D1077" s="4" t="s">
        <v>844</v>
      </c>
      <c r="E1077" s="4" t="s">
        <v>3047</v>
      </c>
      <c r="F1077" s="4" t="s">
        <v>3048</v>
      </c>
      <c r="G1077" s="4"/>
      <c r="H1077" s="4"/>
    </row>
    <row r="1078" spans="1:8">
      <c r="A1078" s="4">
        <v>274</v>
      </c>
      <c r="B1078" s="4" t="s">
        <v>843</v>
      </c>
      <c r="C1078" s="4" t="s">
        <v>1930</v>
      </c>
      <c r="D1078" s="4" t="s">
        <v>845</v>
      </c>
      <c r="E1078" s="4" t="s">
        <v>845</v>
      </c>
      <c r="F1078" s="4" t="s">
        <v>1740</v>
      </c>
      <c r="G1078" s="4"/>
      <c r="H1078" s="4"/>
    </row>
    <row r="1079" spans="1:8">
      <c r="A1079" s="4">
        <v>274</v>
      </c>
      <c r="B1079" s="4" t="s">
        <v>843</v>
      </c>
      <c r="C1079" s="4" t="s">
        <v>1936</v>
      </c>
      <c r="D1079" s="4" t="s">
        <v>97</v>
      </c>
      <c r="E1079" s="4" t="s">
        <v>959</v>
      </c>
      <c r="F1079" s="4" t="s">
        <v>1309</v>
      </c>
      <c r="G1079" s="4"/>
      <c r="H1079" s="4"/>
    </row>
    <row r="1080" spans="1:8" ht="27.6">
      <c r="A1080" s="4">
        <v>275</v>
      </c>
      <c r="B1080" s="4" t="s">
        <v>846</v>
      </c>
      <c r="C1080" s="4" t="s">
        <v>1925</v>
      </c>
      <c r="D1080" s="4" t="s">
        <v>847</v>
      </c>
      <c r="E1080" s="4" t="s">
        <v>3049</v>
      </c>
      <c r="F1080" s="4" t="s">
        <v>1741</v>
      </c>
      <c r="G1080" s="4" t="s">
        <v>39</v>
      </c>
      <c r="H1080" s="4" t="s">
        <v>1927</v>
      </c>
    </row>
    <row r="1081" spans="1:8">
      <c r="A1081" s="4">
        <v>275</v>
      </c>
      <c r="B1081" s="4" t="s">
        <v>846</v>
      </c>
      <c r="C1081" s="4" t="s">
        <v>1925</v>
      </c>
      <c r="D1081" s="4" t="s">
        <v>847</v>
      </c>
      <c r="E1081" s="4" t="s">
        <v>3050</v>
      </c>
      <c r="F1081" s="4" t="s">
        <v>3051</v>
      </c>
      <c r="G1081" s="4"/>
      <c r="H1081" s="4"/>
    </row>
    <row r="1082" spans="1:8">
      <c r="A1082" s="4">
        <v>275</v>
      </c>
      <c r="B1082" s="4" t="s">
        <v>846</v>
      </c>
      <c r="C1082" s="4" t="s">
        <v>1930</v>
      </c>
      <c r="D1082" s="4" t="s">
        <v>848</v>
      </c>
      <c r="E1082" s="4" t="s">
        <v>848</v>
      </c>
      <c r="F1082" s="4" t="s">
        <v>1742</v>
      </c>
      <c r="G1082" s="4"/>
      <c r="H1082" s="4"/>
    </row>
    <row r="1083" spans="1:8">
      <c r="A1083" s="4">
        <v>275</v>
      </c>
      <c r="B1083" s="4" t="s">
        <v>846</v>
      </c>
      <c r="C1083" s="4" t="s">
        <v>1936</v>
      </c>
      <c r="D1083" s="4" t="s">
        <v>97</v>
      </c>
      <c r="E1083" s="4" t="s">
        <v>959</v>
      </c>
      <c r="F1083" s="4" t="s">
        <v>1309</v>
      </c>
      <c r="G1083" s="4"/>
      <c r="H1083" s="4"/>
    </row>
    <row r="1084" spans="1:8" ht="27.6">
      <c r="A1084" s="4">
        <v>276</v>
      </c>
      <c r="B1084" s="4" t="s">
        <v>849</v>
      </c>
      <c r="C1084" s="4" t="s">
        <v>1925</v>
      </c>
      <c r="D1084" s="4" t="s">
        <v>850</v>
      </c>
      <c r="E1084" s="4" t="s">
        <v>3052</v>
      </c>
      <c r="F1084" s="4" t="s">
        <v>1743</v>
      </c>
      <c r="G1084" s="4" t="s">
        <v>39</v>
      </c>
      <c r="H1084" s="4" t="s">
        <v>1927</v>
      </c>
    </row>
    <row r="1085" spans="1:8">
      <c r="A1085" s="4">
        <v>276</v>
      </c>
      <c r="B1085" s="4" t="s">
        <v>849</v>
      </c>
      <c r="C1085" s="4" t="s">
        <v>1925</v>
      </c>
      <c r="D1085" s="4" t="s">
        <v>850</v>
      </c>
      <c r="E1085" s="4" t="s">
        <v>3053</v>
      </c>
      <c r="F1085" s="4" t="s">
        <v>3054</v>
      </c>
      <c r="G1085" s="4"/>
      <c r="H1085" s="4"/>
    </row>
    <row r="1086" spans="1:8">
      <c r="A1086" s="4">
        <v>276</v>
      </c>
      <c r="B1086" s="4" t="s">
        <v>849</v>
      </c>
      <c r="C1086" s="4" t="s">
        <v>1925</v>
      </c>
      <c r="D1086" s="4" t="s">
        <v>850</v>
      </c>
      <c r="E1086" s="4" t="s">
        <v>3055</v>
      </c>
      <c r="F1086" s="4" t="s">
        <v>3056</v>
      </c>
      <c r="G1086" s="4"/>
      <c r="H1086" s="4"/>
    </row>
    <row r="1087" spans="1:8">
      <c r="A1087" s="4">
        <v>276</v>
      </c>
      <c r="B1087" s="4" t="s">
        <v>849</v>
      </c>
      <c r="C1087" s="4" t="s">
        <v>1930</v>
      </c>
      <c r="D1087" s="4" t="s">
        <v>851</v>
      </c>
      <c r="E1087" s="4" t="s">
        <v>851</v>
      </c>
      <c r="F1087" s="4" t="s">
        <v>1744</v>
      </c>
      <c r="G1087" s="4"/>
      <c r="H1087" s="4"/>
    </row>
    <row r="1088" spans="1:8">
      <c r="A1088" s="4">
        <v>276</v>
      </c>
      <c r="B1088" s="4" t="s">
        <v>849</v>
      </c>
      <c r="C1088" s="4" t="s">
        <v>1936</v>
      </c>
      <c r="D1088" s="4" t="s">
        <v>97</v>
      </c>
      <c r="E1088" s="4" t="s">
        <v>959</v>
      </c>
      <c r="F1088" s="4" t="s">
        <v>1309</v>
      </c>
      <c r="G1088" s="4"/>
      <c r="H1088" s="4"/>
    </row>
    <row r="1089" spans="1:8" ht="27.6">
      <c r="A1089" s="4">
        <v>277</v>
      </c>
      <c r="B1089" s="4" t="s">
        <v>852</v>
      </c>
      <c r="C1089" s="4" t="s">
        <v>1925</v>
      </c>
      <c r="D1089" s="4" t="s">
        <v>853</v>
      </c>
      <c r="E1089" s="4" t="s">
        <v>3057</v>
      </c>
      <c r="F1089" s="4" t="s">
        <v>1745</v>
      </c>
      <c r="G1089" s="4" t="s">
        <v>855</v>
      </c>
      <c r="H1089" s="4" t="s">
        <v>1927</v>
      </c>
    </row>
    <row r="1090" spans="1:8">
      <c r="A1090" s="4">
        <v>277</v>
      </c>
      <c r="B1090" s="4" t="s">
        <v>852</v>
      </c>
      <c r="C1090" s="4" t="s">
        <v>1925</v>
      </c>
      <c r="D1090" s="4" t="s">
        <v>853</v>
      </c>
      <c r="E1090" s="4" t="s">
        <v>3058</v>
      </c>
      <c r="F1090" s="4" t="s">
        <v>3059</v>
      </c>
      <c r="G1090" s="4"/>
      <c r="H1090" s="4"/>
    </row>
    <row r="1091" spans="1:8">
      <c r="A1091" s="4">
        <v>277</v>
      </c>
      <c r="B1091" s="4" t="s">
        <v>852</v>
      </c>
      <c r="C1091" s="4" t="s">
        <v>1925</v>
      </c>
      <c r="D1091" s="4" t="s">
        <v>853</v>
      </c>
      <c r="E1091" s="4" t="s">
        <v>3060</v>
      </c>
      <c r="F1091" s="4" t="s">
        <v>3061</v>
      </c>
      <c r="G1091" s="4"/>
      <c r="H1091" s="4"/>
    </row>
    <row r="1092" spans="1:8">
      <c r="A1092" s="4">
        <v>277</v>
      </c>
      <c r="B1092" s="4" t="s">
        <v>852</v>
      </c>
      <c r="C1092" s="4" t="s">
        <v>1930</v>
      </c>
      <c r="D1092" s="4" t="s">
        <v>854</v>
      </c>
      <c r="E1092" s="4" t="s">
        <v>854</v>
      </c>
      <c r="F1092" s="4" t="s">
        <v>1746</v>
      </c>
      <c r="G1092" s="4"/>
      <c r="H1092" s="4"/>
    </row>
    <row r="1093" spans="1:8" ht="27.6">
      <c r="A1093" s="4">
        <v>278</v>
      </c>
      <c r="B1093" s="4" t="s">
        <v>857</v>
      </c>
      <c r="C1093" s="4" t="s">
        <v>1925</v>
      </c>
      <c r="D1093" s="4" t="s">
        <v>858</v>
      </c>
      <c r="E1093" s="4" t="s">
        <v>3062</v>
      </c>
      <c r="F1093" s="4" t="s">
        <v>1747</v>
      </c>
      <c r="G1093" s="4" t="s">
        <v>855</v>
      </c>
      <c r="H1093" s="4" t="s">
        <v>1927</v>
      </c>
    </row>
    <row r="1094" spans="1:8">
      <c r="A1094" s="4">
        <v>278</v>
      </c>
      <c r="B1094" s="4" t="s">
        <v>857</v>
      </c>
      <c r="C1094" s="4" t="s">
        <v>1925</v>
      </c>
      <c r="D1094" s="4" t="s">
        <v>858</v>
      </c>
      <c r="E1094" s="4" t="s">
        <v>3063</v>
      </c>
      <c r="F1094" s="4" t="s">
        <v>3064</v>
      </c>
      <c r="G1094" s="4"/>
      <c r="H1094" s="4"/>
    </row>
    <row r="1095" spans="1:8">
      <c r="A1095" s="4">
        <v>278</v>
      </c>
      <c r="B1095" s="4" t="s">
        <v>857</v>
      </c>
      <c r="C1095" s="4" t="s">
        <v>1930</v>
      </c>
      <c r="D1095" s="4" t="s">
        <v>859</v>
      </c>
      <c r="E1095" s="4" t="s">
        <v>859</v>
      </c>
      <c r="F1095" s="4" t="s">
        <v>1748</v>
      </c>
      <c r="G1095" s="4"/>
      <c r="H1095" s="4"/>
    </row>
    <row r="1096" spans="1:8" ht="27.6">
      <c r="A1096" s="4">
        <v>279</v>
      </c>
      <c r="B1096" s="4" t="s">
        <v>860</v>
      </c>
      <c r="C1096" s="4" t="s">
        <v>1925</v>
      </c>
      <c r="D1096" s="4" t="s">
        <v>861</v>
      </c>
      <c r="E1096" s="4" t="s">
        <v>3065</v>
      </c>
      <c r="F1096" s="4" t="s">
        <v>1749</v>
      </c>
      <c r="G1096" s="4" t="s">
        <v>254</v>
      </c>
      <c r="H1096" s="4" t="s">
        <v>1927</v>
      </c>
    </row>
    <row r="1097" spans="1:8">
      <c r="A1097" s="4">
        <v>279</v>
      </c>
      <c r="B1097" s="4" t="s">
        <v>860</v>
      </c>
      <c r="C1097" s="4" t="s">
        <v>1925</v>
      </c>
      <c r="D1097" s="4" t="s">
        <v>861</v>
      </c>
      <c r="E1097" s="4" t="s">
        <v>3066</v>
      </c>
      <c r="F1097" s="4" t="s">
        <v>3067</v>
      </c>
      <c r="G1097" s="4"/>
      <c r="H1097" s="4"/>
    </row>
    <row r="1098" spans="1:8">
      <c r="A1098" s="4">
        <v>279</v>
      </c>
      <c r="B1098" s="4" t="s">
        <v>860</v>
      </c>
      <c r="C1098" s="4" t="s">
        <v>1925</v>
      </c>
      <c r="D1098" s="4" t="s">
        <v>861</v>
      </c>
      <c r="E1098" s="4" t="s">
        <v>3068</v>
      </c>
      <c r="F1098" s="4" t="s">
        <v>3069</v>
      </c>
      <c r="G1098" s="4"/>
      <c r="H1098" s="4"/>
    </row>
    <row r="1099" spans="1:8">
      <c r="A1099" s="4">
        <v>279</v>
      </c>
      <c r="B1099" s="4" t="s">
        <v>860</v>
      </c>
      <c r="C1099" s="4" t="s">
        <v>1930</v>
      </c>
      <c r="D1099" s="4" t="s">
        <v>862</v>
      </c>
      <c r="E1099" s="4" t="s">
        <v>862</v>
      </c>
      <c r="F1099" s="4" t="s">
        <v>1750</v>
      </c>
      <c r="G1099" s="4"/>
      <c r="H1099" s="4"/>
    </row>
    <row r="1100" spans="1:8">
      <c r="A1100" s="4">
        <v>279</v>
      </c>
      <c r="B1100" s="4" t="s">
        <v>860</v>
      </c>
      <c r="C1100" s="4" t="s">
        <v>1936</v>
      </c>
      <c r="D1100" s="4" t="s">
        <v>253</v>
      </c>
      <c r="E1100" s="4" t="s">
        <v>384</v>
      </c>
      <c r="F1100" s="4" t="s">
        <v>1392</v>
      </c>
      <c r="G1100" s="4"/>
      <c r="H1100" s="4"/>
    </row>
    <row r="1101" spans="1:8" ht="27.6">
      <c r="A1101" s="4">
        <v>280</v>
      </c>
      <c r="B1101" s="4" t="s">
        <v>863</v>
      </c>
      <c r="C1101" s="4" t="s">
        <v>1925</v>
      </c>
      <c r="D1101" s="4" t="s">
        <v>864</v>
      </c>
      <c r="E1101" s="4" t="s">
        <v>3070</v>
      </c>
      <c r="F1101" s="4" t="s">
        <v>1751</v>
      </c>
      <c r="G1101" s="4" t="s">
        <v>296</v>
      </c>
      <c r="H1101" s="4" t="s">
        <v>1927</v>
      </c>
    </row>
    <row r="1102" spans="1:8">
      <c r="A1102" s="4">
        <v>280</v>
      </c>
      <c r="B1102" s="4" t="s">
        <v>863</v>
      </c>
      <c r="C1102" s="4" t="s">
        <v>1925</v>
      </c>
      <c r="D1102" s="4" t="s">
        <v>864</v>
      </c>
      <c r="E1102" s="4" t="s">
        <v>3071</v>
      </c>
      <c r="F1102" s="4" t="s">
        <v>3072</v>
      </c>
      <c r="G1102" s="4"/>
      <c r="H1102" s="4"/>
    </row>
    <row r="1103" spans="1:8">
      <c r="A1103" s="4">
        <v>280</v>
      </c>
      <c r="B1103" s="4" t="s">
        <v>863</v>
      </c>
      <c r="C1103" s="4" t="s">
        <v>1930</v>
      </c>
      <c r="D1103" s="4" t="s">
        <v>865</v>
      </c>
      <c r="E1103" s="4" t="s">
        <v>865</v>
      </c>
      <c r="F1103" s="4" t="s">
        <v>1752</v>
      </c>
      <c r="G1103" s="4"/>
      <c r="H1103" s="4"/>
    </row>
    <row r="1104" spans="1:8" ht="27.6">
      <c r="A1104" s="4">
        <v>281</v>
      </c>
      <c r="B1104" s="4" t="s">
        <v>866</v>
      </c>
      <c r="C1104" s="4" t="s">
        <v>1925</v>
      </c>
      <c r="D1104" s="4" t="s">
        <v>867</v>
      </c>
      <c r="E1104" s="4" t="s">
        <v>3073</v>
      </c>
      <c r="F1104" s="4" t="s">
        <v>1753</v>
      </c>
      <c r="G1104" s="4" t="s">
        <v>254</v>
      </c>
      <c r="H1104" s="4" t="s">
        <v>1927</v>
      </c>
    </row>
    <row r="1105" spans="1:8">
      <c r="A1105" s="4">
        <v>281</v>
      </c>
      <c r="B1105" s="4" t="s">
        <v>866</v>
      </c>
      <c r="C1105" s="4" t="s">
        <v>1925</v>
      </c>
      <c r="D1105" s="4" t="s">
        <v>867</v>
      </c>
      <c r="E1105" s="4" t="s">
        <v>3074</v>
      </c>
      <c r="F1105" s="4" t="s">
        <v>3075</v>
      </c>
      <c r="G1105" s="4"/>
      <c r="H1105" s="4"/>
    </row>
    <row r="1106" spans="1:8">
      <c r="A1106" s="4">
        <v>281</v>
      </c>
      <c r="B1106" s="4" t="s">
        <v>866</v>
      </c>
      <c r="C1106" s="4" t="s">
        <v>1925</v>
      </c>
      <c r="D1106" s="4" t="s">
        <v>867</v>
      </c>
      <c r="E1106" s="4" t="s">
        <v>3076</v>
      </c>
      <c r="F1106" s="4" t="s">
        <v>3077</v>
      </c>
      <c r="G1106" s="4"/>
      <c r="H1106" s="4"/>
    </row>
    <row r="1107" spans="1:8">
      <c r="A1107" s="4">
        <v>281</v>
      </c>
      <c r="B1107" s="4" t="s">
        <v>866</v>
      </c>
      <c r="C1107" s="4" t="s">
        <v>1930</v>
      </c>
      <c r="D1107" s="4" t="s">
        <v>868</v>
      </c>
      <c r="E1107" s="4" t="s">
        <v>868</v>
      </c>
      <c r="F1107" s="4" t="s">
        <v>1754</v>
      </c>
      <c r="G1107" s="4"/>
      <c r="H1107" s="4"/>
    </row>
    <row r="1108" spans="1:8">
      <c r="A1108" s="4">
        <v>281</v>
      </c>
      <c r="B1108" s="4" t="s">
        <v>866</v>
      </c>
      <c r="C1108" s="4" t="s">
        <v>1936</v>
      </c>
      <c r="D1108" s="4" t="s">
        <v>253</v>
      </c>
      <c r="E1108" s="4" t="s">
        <v>384</v>
      </c>
      <c r="F1108" s="4" t="s">
        <v>1392</v>
      </c>
      <c r="G1108" s="4"/>
      <c r="H1108" s="4"/>
    </row>
    <row r="1109" spans="1:8" ht="27.6">
      <c r="A1109" s="4">
        <v>282</v>
      </c>
      <c r="B1109" s="4" t="s">
        <v>869</v>
      </c>
      <c r="C1109" s="4" t="s">
        <v>1925</v>
      </c>
      <c r="D1109" s="4" t="s">
        <v>870</v>
      </c>
      <c r="E1109" s="4" t="s">
        <v>3078</v>
      </c>
      <c r="F1109" s="4" t="s">
        <v>1755</v>
      </c>
      <c r="G1109" s="4" t="s">
        <v>254</v>
      </c>
      <c r="H1109" s="4" t="s">
        <v>1927</v>
      </c>
    </row>
    <row r="1110" spans="1:8">
      <c r="A1110" s="4">
        <v>282</v>
      </c>
      <c r="B1110" s="4" t="s">
        <v>869</v>
      </c>
      <c r="C1110" s="4" t="s">
        <v>1925</v>
      </c>
      <c r="D1110" s="4" t="s">
        <v>870</v>
      </c>
      <c r="E1110" s="4" t="s">
        <v>3079</v>
      </c>
      <c r="F1110" s="4" t="s">
        <v>3080</v>
      </c>
      <c r="G1110" s="4"/>
      <c r="H1110" s="4"/>
    </row>
    <row r="1111" spans="1:8">
      <c r="A1111" s="4">
        <v>282</v>
      </c>
      <c r="B1111" s="4" t="s">
        <v>869</v>
      </c>
      <c r="C1111" s="4" t="s">
        <v>1930</v>
      </c>
      <c r="D1111" s="4" t="s">
        <v>871</v>
      </c>
      <c r="E1111" s="4" t="s">
        <v>871</v>
      </c>
      <c r="F1111" s="4" t="s">
        <v>1382</v>
      </c>
      <c r="G1111" s="4"/>
      <c r="H1111" s="4"/>
    </row>
    <row r="1112" spans="1:8">
      <c r="A1112" s="4">
        <v>282</v>
      </c>
      <c r="B1112" s="4" t="s">
        <v>869</v>
      </c>
      <c r="C1112" s="4" t="s">
        <v>1936</v>
      </c>
      <c r="D1112" s="4" t="s">
        <v>253</v>
      </c>
      <c r="E1112" s="4" t="s">
        <v>384</v>
      </c>
      <c r="F1112" s="4" t="s">
        <v>1392</v>
      </c>
      <c r="G1112" s="4"/>
      <c r="H1112" s="4"/>
    </row>
    <row r="1113" spans="1:8" ht="27.6">
      <c r="A1113" s="4">
        <v>283</v>
      </c>
      <c r="B1113" s="4" t="s">
        <v>872</v>
      </c>
      <c r="C1113" s="4" t="s">
        <v>1925</v>
      </c>
      <c r="D1113" s="4" t="s">
        <v>873</v>
      </c>
      <c r="E1113" s="4" t="s">
        <v>3081</v>
      </c>
      <c r="F1113" s="4" t="s">
        <v>1756</v>
      </c>
      <c r="G1113" s="4" t="s">
        <v>20</v>
      </c>
      <c r="H1113" s="4" t="s">
        <v>1927</v>
      </c>
    </row>
    <row r="1114" spans="1:8">
      <c r="A1114" s="4">
        <v>283</v>
      </c>
      <c r="B1114" s="4" t="s">
        <v>872</v>
      </c>
      <c r="C1114" s="4" t="s">
        <v>1925</v>
      </c>
      <c r="D1114" s="4" t="s">
        <v>873</v>
      </c>
      <c r="E1114" s="4" t="s">
        <v>3082</v>
      </c>
      <c r="F1114" s="4" t="s">
        <v>3083</v>
      </c>
      <c r="G1114" s="4"/>
      <c r="H1114" s="4"/>
    </row>
    <row r="1115" spans="1:8">
      <c r="A1115" s="4">
        <v>283</v>
      </c>
      <c r="B1115" s="4" t="s">
        <v>872</v>
      </c>
      <c r="C1115" s="4" t="s">
        <v>1925</v>
      </c>
      <c r="D1115" s="4" t="s">
        <v>873</v>
      </c>
      <c r="E1115" s="4" t="s">
        <v>3084</v>
      </c>
      <c r="F1115" s="4" t="s">
        <v>3085</v>
      </c>
      <c r="G1115" s="4"/>
      <c r="H1115" s="4"/>
    </row>
    <row r="1116" spans="1:8">
      <c r="A1116" s="4">
        <v>283</v>
      </c>
      <c r="B1116" s="4" t="s">
        <v>872</v>
      </c>
      <c r="C1116" s="4" t="s">
        <v>1930</v>
      </c>
      <c r="D1116" s="4" t="s">
        <v>874</v>
      </c>
      <c r="E1116" s="4" t="s">
        <v>874</v>
      </c>
      <c r="F1116" s="4" t="s">
        <v>1757</v>
      </c>
      <c r="G1116" s="4"/>
      <c r="H1116" s="4"/>
    </row>
    <row r="1117" spans="1:8" ht="27.6">
      <c r="A1117" s="4">
        <v>284</v>
      </c>
      <c r="B1117" s="4" t="s">
        <v>875</v>
      </c>
      <c r="C1117" s="4" t="s">
        <v>1925</v>
      </c>
      <c r="D1117" s="4" t="s">
        <v>876</v>
      </c>
      <c r="E1117" s="4" t="s">
        <v>3086</v>
      </c>
      <c r="F1117" s="4" t="s">
        <v>1758</v>
      </c>
      <c r="G1117" s="4" t="s">
        <v>39</v>
      </c>
      <c r="H1117" s="4" t="s">
        <v>1927</v>
      </c>
    </row>
    <row r="1118" spans="1:8">
      <c r="A1118" s="4">
        <v>284</v>
      </c>
      <c r="B1118" s="4" t="s">
        <v>875</v>
      </c>
      <c r="C1118" s="4" t="s">
        <v>1925</v>
      </c>
      <c r="D1118" s="4" t="s">
        <v>876</v>
      </c>
      <c r="E1118" s="4" t="s">
        <v>3087</v>
      </c>
      <c r="F1118" s="4" t="s">
        <v>3088</v>
      </c>
      <c r="G1118" s="4"/>
      <c r="H1118" s="4"/>
    </row>
    <row r="1119" spans="1:8">
      <c r="A1119" s="4">
        <v>284</v>
      </c>
      <c r="B1119" s="4" t="s">
        <v>875</v>
      </c>
      <c r="C1119" s="4" t="s">
        <v>1930</v>
      </c>
      <c r="D1119" s="4" t="s">
        <v>877</v>
      </c>
      <c r="E1119" s="4" t="s">
        <v>877</v>
      </c>
      <c r="F1119" s="4" t="s">
        <v>1273</v>
      </c>
      <c r="G1119" s="4"/>
      <c r="H1119" s="4"/>
    </row>
    <row r="1120" spans="1:8" ht="27.6">
      <c r="A1120" s="4">
        <v>285</v>
      </c>
      <c r="B1120" s="4" t="s">
        <v>878</v>
      </c>
      <c r="C1120" s="4" t="s">
        <v>1925</v>
      </c>
      <c r="D1120" s="4" t="s">
        <v>879</v>
      </c>
      <c r="E1120" s="4" t="s">
        <v>3089</v>
      </c>
      <c r="F1120" s="4" t="s">
        <v>1759</v>
      </c>
      <c r="G1120" s="4" t="s">
        <v>20</v>
      </c>
      <c r="H1120" s="4" t="s">
        <v>1927</v>
      </c>
    </row>
    <row r="1121" spans="1:8">
      <c r="A1121" s="4">
        <v>285</v>
      </c>
      <c r="B1121" s="4" t="s">
        <v>878</v>
      </c>
      <c r="C1121" s="4" t="s">
        <v>1925</v>
      </c>
      <c r="D1121" s="4" t="s">
        <v>879</v>
      </c>
      <c r="E1121" s="4" t="s">
        <v>3090</v>
      </c>
      <c r="F1121" s="4" t="s">
        <v>3091</v>
      </c>
      <c r="G1121" s="4"/>
      <c r="H1121" s="4"/>
    </row>
    <row r="1122" spans="1:8">
      <c r="A1122" s="4">
        <v>285</v>
      </c>
      <c r="B1122" s="4" t="s">
        <v>878</v>
      </c>
      <c r="C1122" s="4" t="s">
        <v>1925</v>
      </c>
      <c r="D1122" s="4" t="s">
        <v>879</v>
      </c>
      <c r="E1122" s="4" t="s">
        <v>3092</v>
      </c>
      <c r="F1122" s="4" t="s">
        <v>3093</v>
      </c>
      <c r="G1122" s="4"/>
      <c r="H1122" s="4"/>
    </row>
    <row r="1123" spans="1:8">
      <c r="A1123" s="4">
        <v>285</v>
      </c>
      <c r="B1123" s="4" t="s">
        <v>878</v>
      </c>
      <c r="C1123" s="4" t="s">
        <v>1930</v>
      </c>
      <c r="D1123" s="4" t="s">
        <v>17</v>
      </c>
      <c r="E1123" s="4" t="s">
        <v>636</v>
      </c>
      <c r="F1123" s="4" t="s">
        <v>1270</v>
      </c>
      <c r="G1123" s="4"/>
      <c r="H1123" s="4"/>
    </row>
    <row r="1124" spans="1:8" ht="27.6">
      <c r="A1124" s="4">
        <v>286</v>
      </c>
      <c r="B1124" s="4" t="s">
        <v>880</v>
      </c>
      <c r="C1124" s="4" t="s">
        <v>1925</v>
      </c>
      <c r="D1124" s="4" t="s">
        <v>881</v>
      </c>
      <c r="E1124" s="4" t="s">
        <v>3094</v>
      </c>
      <c r="F1124" s="4" t="s">
        <v>1760</v>
      </c>
      <c r="G1124" s="4" t="s">
        <v>101</v>
      </c>
      <c r="H1124" s="4" t="s">
        <v>1927</v>
      </c>
    </row>
    <row r="1125" spans="1:8">
      <c r="A1125" s="4">
        <v>286</v>
      </c>
      <c r="B1125" s="4" t="s">
        <v>880</v>
      </c>
      <c r="C1125" s="4" t="s">
        <v>1925</v>
      </c>
      <c r="D1125" s="4" t="s">
        <v>881</v>
      </c>
      <c r="E1125" s="4" t="s">
        <v>3095</v>
      </c>
      <c r="F1125" s="4" t="s">
        <v>3096</v>
      </c>
      <c r="G1125" s="4"/>
      <c r="H1125" s="4"/>
    </row>
    <row r="1126" spans="1:8">
      <c r="A1126" s="4">
        <v>286</v>
      </c>
      <c r="B1126" s="4" t="s">
        <v>880</v>
      </c>
      <c r="C1126" s="4" t="s">
        <v>1930</v>
      </c>
      <c r="D1126" s="4" t="s">
        <v>882</v>
      </c>
      <c r="E1126" s="4" t="s">
        <v>882</v>
      </c>
      <c r="F1126" s="4" t="s">
        <v>1761</v>
      </c>
      <c r="G1126" s="4"/>
      <c r="H1126" s="4"/>
    </row>
    <row r="1127" spans="1:8">
      <c r="A1127" s="4">
        <v>286</v>
      </c>
      <c r="B1127" s="4" t="s">
        <v>880</v>
      </c>
      <c r="C1127" s="4" t="s">
        <v>1936</v>
      </c>
      <c r="D1127" s="4" t="s">
        <v>100</v>
      </c>
      <c r="E1127" s="4" t="s">
        <v>105</v>
      </c>
      <c r="F1127" s="4" t="s">
        <v>1311</v>
      </c>
      <c r="G1127" s="4"/>
      <c r="H1127" s="4"/>
    </row>
    <row r="1128" spans="1:8" ht="27.6">
      <c r="A1128" s="4">
        <v>287</v>
      </c>
      <c r="B1128" s="4" t="s">
        <v>883</v>
      </c>
      <c r="C1128" s="4" t="s">
        <v>1925</v>
      </c>
      <c r="D1128" s="4" t="s">
        <v>884</v>
      </c>
      <c r="E1128" s="4" t="s">
        <v>3097</v>
      </c>
      <c r="F1128" s="4" t="s">
        <v>1762</v>
      </c>
      <c r="G1128" s="4" t="s">
        <v>211</v>
      </c>
      <c r="H1128" s="4" t="s">
        <v>1927</v>
      </c>
    </row>
    <row r="1129" spans="1:8">
      <c r="A1129" s="4">
        <v>287</v>
      </c>
      <c r="B1129" s="4" t="s">
        <v>883</v>
      </c>
      <c r="C1129" s="4" t="s">
        <v>1925</v>
      </c>
      <c r="D1129" s="4" t="s">
        <v>884</v>
      </c>
      <c r="E1129" s="4" t="s">
        <v>3098</v>
      </c>
      <c r="F1129" s="4" t="s">
        <v>3099</v>
      </c>
      <c r="G1129" s="4"/>
      <c r="H1129" s="4"/>
    </row>
    <row r="1130" spans="1:8">
      <c r="A1130" s="4">
        <v>287</v>
      </c>
      <c r="B1130" s="4" t="s">
        <v>883</v>
      </c>
      <c r="C1130" s="4" t="s">
        <v>1925</v>
      </c>
      <c r="D1130" s="4" t="s">
        <v>884</v>
      </c>
      <c r="E1130" s="4" t="s">
        <v>3100</v>
      </c>
      <c r="F1130" s="4" t="s">
        <v>3101</v>
      </c>
      <c r="G1130" s="4"/>
      <c r="H1130" s="4"/>
    </row>
    <row r="1131" spans="1:8">
      <c r="A1131" s="4">
        <v>287</v>
      </c>
      <c r="B1131" s="4" t="s">
        <v>883</v>
      </c>
      <c r="C1131" s="4" t="s">
        <v>1930</v>
      </c>
      <c r="D1131" s="4" t="s">
        <v>885</v>
      </c>
      <c r="E1131" s="4" t="s">
        <v>885</v>
      </c>
      <c r="F1131" s="4" t="s">
        <v>1552</v>
      </c>
      <c r="G1131" s="4"/>
      <c r="H1131" s="4"/>
    </row>
    <row r="1132" spans="1:8" ht="27.6">
      <c r="A1132" s="4">
        <v>288</v>
      </c>
      <c r="B1132" s="4" t="s">
        <v>886</v>
      </c>
      <c r="C1132" s="4" t="s">
        <v>1925</v>
      </c>
      <c r="D1132" s="4" t="s">
        <v>887</v>
      </c>
      <c r="E1132" s="4" t="s">
        <v>3102</v>
      </c>
      <c r="F1132" s="4" t="s">
        <v>1763</v>
      </c>
      <c r="G1132" s="4" t="s">
        <v>56</v>
      </c>
      <c r="H1132" s="4" t="s">
        <v>1927</v>
      </c>
    </row>
    <row r="1133" spans="1:8">
      <c r="A1133" s="4">
        <v>288</v>
      </c>
      <c r="B1133" s="4" t="s">
        <v>886</v>
      </c>
      <c r="C1133" s="4" t="s">
        <v>1925</v>
      </c>
      <c r="D1133" s="4" t="s">
        <v>887</v>
      </c>
      <c r="E1133" s="4" t="s">
        <v>3103</v>
      </c>
      <c r="F1133" s="4" t="s">
        <v>3104</v>
      </c>
      <c r="G1133" s="4"/>
      <c r="H1133" s="4"/>
    </row>
    <row r="1134" spans="1:8">
      <c r="A1134" s="4">
        <v>288</v>
      </c>
      <c r="B1134" s="4" t="s">
        <v>886</v>
      </c>
      <c r="C1134" s="4" t="s">
        <v>1925</v>
      </c>
      <c r="D1134" s="4" t="s">
        <v>887</v>
      </c>
      <c r="E1134" s="4" t="s">
        <v>3105</v>
      </c>
      <c r="F1134" s="4" t="s">
        <v>3106</v>
      </c>
      <c r="G1134" s="4"/>
      <c r="H1134" s="4"/>
    </row>
    <row r="1135" spans="1:8">
      <c r="A1135" s="4">
        <v>288</v>
      </c>
      <c r="B1135" s="4" t="s">
        <v>886</v>
      </c>
      <c r="C1135" s="4" t="s">
        <v>1930</v>
      </c>
      <c r="D1135" s="4" t="s">
        <v>888</v>
      </c>
      <c r="E1135" s="4" t="s">
        <v>888</v>
      </c>
      <c r="F1135" s="4" t="s">
        <v>1764</v>
      </c>
      <c r="G1135" s="4"/>
      <c r="H1135" s="4"/>
    </row>
    <row r="1136" spans="1:8" ht="27.6">
      <c r="A1136" s="4">
        <v>289</v>
      </c>
      <c r="B1136" s="4" t="s">
        <v>889</v>
      </c>
      <c r="C1136" s="4" t="s">
        <v>1925</v>
      </c>
      <c r="D1136" s="4" t="s">
        <v>890</v>
      </c>
      <c r="E1136" s="4" t="s">
        <v>3107</v>
      </c>
      <c r="F1136" s="4" t="s">
        <v>1765</v>
      </c>
      <c r="G1136" s="4" t="s">
        <v>893</v>
      </c>
      <c r="H1136" s="4" t="s">
        <v>1927</v>
      </c>
    </row>
    <row r="1137" spans="1:8">
      <c r="A1137" s="4">
        <v>289</v>
      </c>
      <c r="B1137" s="4" t="s">
        <v>889</v>
      </c>
      <c r="C1137" s="4" t="s">
        <v>1925</v>
      </c>
      <c r="D1137" s="4" t="s">
        <v>890</v>
      </c>
      <c r="E1137" s="4" t="s">
        <v>3108</v>
      </c>
      <c r="F1137" s="4" t="s">
        <v>3109</v>
      </c>
      <c r="G1137" s="4"/>
      <c r="H1137" s="4"/>
    </row>
    <row r="1138" spans="1:8">
      <c r="A1138" s="4">
        <v>289</v>
      </c>
      <c r="B1138" s="4" t="s">
        <v>889</v>
      </c>
      <c r="C1138" s="4" t="s">
        <v>1930</v>
      </c>
      <c r="D1138" s="4" t="s">
        <v>891</v>
      </c>
      <c r="E1138" s="4" t="s">
        <v>891</v>
      </c>
      <c r="F1138" s="4" t="s">
        <v>1766</v>
      </c>
      <c r="G1138" s="4"/>
      <c r="H1138" s="4"/>
    </row>
    <row r="1139" spans="1:8">
      <c r="A1139" s="4">
        <v>289</v>
      </c>
      <c r="B1139" s="4" t="s">
        <v>889</v>
      </c>
      <c r="C1139" s="4" t="s">
        <v>1936</v>
      </c>
      <c r="D1139" s="4" t="s">
        <v>892</v>
      </c>
      <c r="E1139" s="4" t="s">
        <v>1021</v>
      </c>
      <c r="F1139" s="4" t="s">
        <v>1767</v>
      </c>
      <c r="G1139" s="4"/>
      <c r="H1139" s="4"/>
    </row>
    <row r="1140" spans="1:8" ht="27.6">
      <c r="A1140" s="4">
        <v>290</v>
      </c>
      <c r="B1140" s="4" t="s">
        <v>895</v>
      </c>
      <c r="C1140" s="4" t="s">
        <v>1925</v>
      </c>
      <c r="D1140" s="4" t="s">
        <v>896</v>
      </c>
      <c r="E1140" s="4" t="s">
        <v>3110</v>
      </c>
      <c r="F1140" s="4" t="s">
        <v>1768</v>
      </c>
      <c r="G1140" s="4" t="s">
        <v>893</v>
      </c>
      <c r="H1140" s="4" t="s">
        <v>1927</v>
      </c>
    </row>
    <row r="1141" spans="1:8">
      <c r="A1141" s="4">
        <v>290</v>
      </c>
      <c r="B1141" s="4" t="s">
        <v>895</v>
      </c>
      <c r="C1141" s="4" t="s">
        <v>1925</v>
      </c>
      <c r="D1141" s="4" t="s">
        <v>896</v>
      </c>
      <c r="E1141" s="4" t="s">
        <v>3111</v>
      </c>
      <c r="F1141" s="4" t="s">
        <v>3112</v>
      </c>
      <c r="G1141" s="4"/>
      <c r="H1141" s="4"/>
    </row>
    <row r="1142" spans="1:8">
      <c r="A1142" s="4">
        <v>290</v>
      </c>
      <c r="B1142" s="4" t="s">
        <v>895</v>
      </c>
      <c r="C1142" s="4" t="s">
        <v>1925</v>
      </c>
      <c r="D1142" s="4" t="s">
        <v>896</v>
      </c>
      <c r="E1142" s="4" t="s">
        <v>3113</v>
      </c>
      <c r="F1142" s="4" t="s">
        <v>3114</v>
      </c>
      <c r="G1142" s="4"/>
      <c r="H1142" s="4"/>
    </row>
    <row r="1143" spans="1:8">
      <c r="A1143" s="4">
        <v>290</v>
      </c>
      <c r="B1143" s="4" t="s">
        <v>895</v>
      </c>
      <c r="C1143" s="4" t="s">
        <v>1930</v>
      </c>
      <c r="D1143" s="4" t="s">
        <v>897</v>
      </c>
      <c r="E1143" s="4" t="s">
        <v>897</v>
      </c>
      <c r="F1143" s="4" t="s">
        <v>1769</v>
      </c>
      <c r="G1143" s="4"/>
      <c r="H1143" s="4"/>
    </row>
    <row r="1144" spans="1:8">
      <c r="A1144" s="4">
        <v>290</v>
      </c>
      <c r="B1144" s="4" t="s">
        <v>895</v>
      </c>
      <c r="C1144" s="4" t="s">
        <v>1936</v>
      </c>
      <c r="D1144" s="4" t="s">
        <v>892</v>
      </c>
      <c r="E1144" s="4" t="s">
        <v>1021</v>
      </c>
      <c r="F1144" s="4" t="s">
        <v>1767</v>
      </c>
      <c r="G1144" s="4"/>
      <c r="H1144" s="4"/>
    </row>
    <row r="1145" spans="1:8" ht="27.6">
      <c r="A1145" s="4">
        <v>291</v>
      </c>
      <c r="B1145" s="4" t="s">
        <v>898</v>
      </c>
      <c r="C1145" s="4" t="s">
        <v>1925</v>
      </c>
      <c r="D1145" s="4" t="s">
        <v>899</v>
      </c>
      <c r="E1145" s="4" t="s">
        <v>3115</v>
      </c>
      <c r="F1145" s="4" t="s">
        <v>1770</v>
      </c>
      <c r="G1145" s="4" t="s">
        <v>893</v>
      </c>
      <c r="H1145" s="4" t="s">
        <v>1927</v>
      </c>
    </row>
    <row r="1146" spans="1:8">
      <c r="A1146" s="4">
        <v>291</v>
      </c>
      <c r="B1146" s="4" t="s">
        <v>898</v>
      </c>
      <c r="C1146" s="4" t="s">
        <v>1925</v>
      </c>
      <c r="D1146" s="4" t="s">
        <v>899</v>
      </c>
      <c r="E1146" s="4" t="s">
        <v>3116</v>
      </c>
      <c r="F1146" s="4" t="s">
        <v>3117</v>
      </c>
      <c r="G1146" s="4"/>
      <c r="H1146" s="4"/>
    </row>
    <row r="1147" spans="1:8">
      <c r="A1147" s="4">
        <v>291</v>
      </c>
      <c r="B1147" s="4" t="s">
        <v>898</v>
      </c>
      <c r="C1147" s="4" t="s">
        <v>1930</v>
      </c>
      <c r="D1147" s="4" t="s">
        <v>900</v>
      </c>
      <c r="E1147" s="4" t="s">
        <v>900</v>
      </c>
      <c r="F1147" s="4" t="s">
        <v>1771</v>
      </c>
      <c r="G1147" s="4"/>
      <c r="H1147" s="4"/>
    </row>
    <row r="1148" spans="1:8" ht="27.6">
      <c r="A1148" s="4">
        <v>292</v>
      </c>
      <c r="B1148" s="4" t="s">
        <v>901</v>
      </c>
      <c r="C1148" s="4" t="s">
        <v>1925</v>
      </c>
      <c r="D1148" s="4" t="s">
        <v>902</v>
      </c>
      <c r="E1148" s="4" t="s">
        <v>3118</v>
      </c>
      <c r="F1148" s="4" t="s">
        <v>1772</v>
      </c>
      <c r="G1148" s="4" t="s">
        <v>893</v>
      </c>
      <c r="H1148" s="4" t="s">
        <v>1927</v>
      </c>
    </row>
    <row r="1149" spans="1:8">
      <c r="A1149" s="4">
        <v>292</v>
      </c>
      <c r="B1149" s="4" t="s">
        <v>901</v>
      </c>
      <c r="C1149" s="4" t="s">
        <v>1925</v>
      </c>
      <c r="D1149" s="4" t="s">
        <v>902</v>
      </c>
      <c r="E1149" s="4" t="s">
        <v>3119</v>
      </c>
      <c r="F1149" s="4" t="s">
        <v>3120</v>
      </c>
      <c r="G1149" s="4"/>
      <c r="H1149" s="4"/>
    </row>
    <row r="1150" spans="1:8">
      <c r="A1150" s="4">
        <v>292</v>
      </c>
      <c r="B1150" s="4" t="s">
        <v>901</v>
      </c>
      <c r="C1150" s="4" t="s">
        <v>1925</v>
      </c>
      <c r="D1150" s="4" t="s">
        <v>902</v>
      </c>
      <c r="E1150" s="4" t="s">
        <v>3121</v>
      </c>
      <c r="F1150" s="4" t="s">
        <v>3122</v>
      </c>
      <c r="G1150" s="4"/>
      <c r="H1150" s="4"/>
    </row>
    <row r="1151" spans="1:8">
      <c r="A1151" s="4">
        <v>292</v>
      </c>
      <c r="B1151" s="4" t="s">
        <v>901</v>
      </c>
      <c r="C1151" s="4" t="s">
        <v>1930</v>
      </c>
      <c r="D1151" s="4" t="s">
        <v>903</v>
      </c>
      <c r="E1151" s="4" t="s">
        <v>903</v>
      </c>
      <c r="F1151" s="4" t="s">
        <v>1773</v>
      </c>
      <c r="G1151" s="4"/>
      <c r="H1151" s="4"/>
    </row>
    <row r="1152" spans="1:8" ht="27.6">
      <c r="A1152" s="4">
        <v>293</v>
      </c>
      <c r="B1152" s="4" t="s">
        <v>904</v>
      </c>
      <c r="C1152" s="4" t="s">
        <v>1925</v>
      </c>
      <c r="D1152" s="4" t="s">
        <v>905</v>
      </c>
      <c r="E1152" s="4" t="s">
        <v>3123</v>
      </c>
      <c r="F1152" s="4" t="s">
        <v>1774</v>
      </c>
      <c r="G1152" s="4" t="s">
        <v>893</v>
      </c>
      <c r="H1152" s="4" t="s">
        <v>1927</v>
      </c>
    </row>
    <row r="1153" spans="1:8">
      <c r="A1153" s="4">
        <v>293</v>
      </c>
      <c r="B1153" s="4" t="s">
        <v>904</v>
      </c>
      <c r="C1153" s="4" t="s">
        <v>1925</v>
      </c>
      <c r="D1153" s="4" t="s">
        <v>905</v>
      </c>
      <c r="E1153" s="4" t="s">
        <v>3124</v>
      </c>
      <c r="F1153" s="4" t="s">
        <v>3125</v>
      </c>
      <c r="G1153" s="4"/>
      <c r="H1153" s="4"/>
    </row>
    <row r="1154" spans="1:8">
      <c r="A1154" s="4">
        <v>293</v>
      </c>
      <c r="B1154" s="4" t="s">
        <v>904</v>
      </c>
      <c r="C1154" s="4" t="s">
        <v>1930</v>
      </c>
      <c r="D1154" s="4" t="s">
        <v>906</v>
      </c>
      <c r="E1154" s="4" t="s">
        <v>906</v>
      </c>
      <c r="F1154" s="4" t="s">
        <v>1775</v>
      </c>
      <c r="G1154" s="4"/>
      <c r="H1154" s="4"/>
    </row>
    <row r="1155" spans="1:8" ht="27.6">
      <c r="A1155" s="4">
        <v>294</v>
      </c>
      <c r="B1155" s="4" t="s">
        <v>907</v>
      </c>
      <c r="C1155" s="4" t="s">
        <v>1925</v>
      </c>
      <c r="D1155" s="4" t="s">
        <v>908</v>
      </c>
      <c r="E1155" s="4" t="s">
        <v>3126</v>
      </c>
      <c r="F1155" s="4" t="s">
        <v>1776</v>
      </c>
      <c r="G1155" s="4" t="s">
        <v>424</v>
      </c>
      <c r="H1155" s="4" t="s">
        <v>1927</v>
      </c>
    </row>
    <row r="1156" spans="1:8">
      <c r="A1156" s="4">
        <v>294</v>
      </c>
      <c r="B1156" s="4" t="s">
        <v>907</v>
      </c>
      <c r="C1156" s="4" t="s">
        <v>1925</v>
      </c>
      <c r="D1156" s="4" t="s">
        <v>908</v>
      </c>
      <c r="E1156" s="4" t="s">
        <v>3127</v>
      </c>
      <c r="F1156" s="4" t="s">
        <v>3128</v>
      </c>
      <c r="G1156" s="4"/>
      <c r="H1156" s="4"/>
    </row>
    <row r="1157" spans="1:8">
      <c r="A1157" s="4">
        <v>294</v>
      </c>
      <c r="B1157" s="4" t="s">
        <v>907</v>
      </c>
      <c r="C1157" s="4" t="s">
        <v>1925</v>
      </c>
      <c r="D1157" s="4" t="s">
        <v>908</v>
      </c>
      <c r="E1157" s="4" t="s">
        <v>3129</v>
      </c>
      <c r="F1157" s="4" t="s">
        <v>3130</v>
      </c>
      <c r="G1157" s="4"/>
      <c r="H1157" s="4"/>
    </row>
    <row r="1158" spans="1:8">
      <c r="A1158" s="4">
        <v>294</v>
      </c>
      <c r="B1158" s="4" t="s">
        <v>907</v>
      </c>
      <c r="C1158" s="4" t="s">
        <v>1930</v>
      </c>
      <c r="D1158" s="4" t="s">
        <v>423</v>
      </c>
      <c r="E1158" s="4" t="s">
        <v>968</v>
      </c>
      <c r="F1158" s="4" t="s">
        <v>1494</v>
      </c>
      <c r="G1158" s="4"/>
      <c r="H1158" s="4"/>
    </row>
    <row r="1159" spans="1:8" ht="27.6">
      <c r="A1159" s="4">
        <v>295</v>
      </c>
      <c r="B1159" s="4" t="s">
        <v>909</v>
      </c>
      <c r="C1159" s="4" t="s">
        <v>1925</v>
      </c>
      <c r="D1159" s="4" t="s">
        <v>910</v>
      </c>
      <c r="E1159" s="4" t="s">
        <v>3131</v>
      </c>
      <c r="F1159" s="4" t="s">
        <v>1777</v>
      </c>
      <c r="G1159" s="4" t="s">
        <v>424</v>
      </c>
      <c r="H1159" s="4" t="s">
        <v>1927</v>
      </c>
    </row>
    <row r="1160" spans="1:8">
      <c r="A1160" s="4">
        <v>295</v>
      </c>
      <c r="B1160" s="4" t="s">
        <v>909</v>
      </c>
      <c r="C1160" s="4" t="s">
        <v>1925</v>
      </c>
      <c r="D1160" s="4" t="s">
        <v>910</v>
      </c>
      <c r="E1160" s="4" t="s">
        <v>3132</v>
      </c>
      <c r="F1160" s="4" t="s">
        <v>3133</v>
      </c>
      <c r="G1160" s="4"/>
      <c r="H1160" s="4"/>
    </row>
    <row r="1161" spans="1:8">
      <c r="A1161" s="4">
        <v>295</v>
      </c>
      <c r="B1161" s="4" t="s">
        <v>909</v>
      </c>
      <c r="C1161" s="4" t="s">
        <v>1930</v>
      </c>
      <c r="D1161" s="4" t="s">
        <v>423</v>
      </c>
      <c r="E1161" s="4" t="s">
        <v>968</v>
      </c>
      <c r="F1161" s="4" t="s">
        <v>1494</v>
      </c>
      <c r="G1161" s="4"/>
      <c r="H1161" s="4"/>
    </row>
    <row r="1162" spans="1:8" ht="27.6">
      <c r="A1162" s="4">
        <v>296</v>
      </c>
      <c r="B1162" s="4" t="s">
        <v>911</v>
      </c>
      <c r="C1162" s="4" t="s">
        <v>1925</v>
      </c>
      <c r="D1162" s="4" t="s">
        <v>912</v>
      </c>
      <c r="E1162" s="4" t="s">
        <v>3134</v>
      </c>
      <c r="F1162" s="4" t="s">
        <v>1778</v>
      </c>
      <c r="G1162" s="4" t="s">
        <v>424</v>
      </c>
      <c r="H1162" s="4" t="s">
        <v>1927</v>
      </c>
    </row>
    <row r="1163" spans="1:8">
      <c r="A1163" s="4">
        <v>296</v>
      </c>
      <c r="B1163" s="4" t="s">
        <v>911</v>
      </c>
      <c r="C1163" s="4" t="s">
        <v>1925</v>
      </c>
      <c r="D1163" s="4" t="s">
        <v>912</v>
      </c>
      <c r="E1163" s="4" t="s">
        <v>3135</v>
      </c>
      <c r="F1163" s="4" t="s">
        <v>3136</v>
      </c>
      <c r="G1163" s="4"/>
      <c r="H1163" s="4"/>
    </row>
    <row r="1164" spans="1:8">
      <c r="A1164" s="4">
        <v>296</v>
      </c>
      <c r="B1164" s="4" t="s">
        <v>911</v>
      </c>
      <c r="C1164" s="4" t="s">
        <v>1925</v>
      </c>
      <c r="D1164" s="4" t="s">
        <v>912</v>
      </c>
      <c r="E1164" s="4" t="s">
        <v>3137</v>
      </c>
      <c r="F1164" s="4" t="s">
        <v>3138</v>
      </c>
      <c r="G1164" s="4"/>
      <c r="H1164" s="4"/>
    </row>
    <row r="1165" spans="1:8">
      <c r="A1165" s="4">
        <v>296</v>
      </c>
      <c r="B1165" s="4" t="s">
        <v>911</v>
      </c>
      <c r="C1165" s="4" t="s">
        <v>1930</v>
      </c>
      <c r="D1165" s="4" t="s">
        <v>423</v>
      </c>
      <c r="E1165" s="4" t="s">
        <v>968</v>
      </c>
      <c r="F1165" s="4" t="s">
        <v>1494</v>
      </c>
      <c r="G1165" s="4"/>
      <c r="H1165" s="4"/>
    </row>
    <row r="1166" spans="1:8" ht="27.6">
      <c r="A1166" s="4">
        <v>297</v>
      </c>
      <c r="B1166" s="4" t="s">
        <v>913</v>
      </c>
      <c r="C1166" s="4" t="s">
        <v>1925</v>
      </c>
      <c r="D1166" s="4" t="s">
        <v>914</v>
      </c>
      <c r="E1166" s="4" t="s">
        <v>3139</v>
      </c>
      <c r="F1166" s="4" t="s">
        <v>1779</v>
      </c>
      <c r="G1166" s="4" t="s">
        <v>424</v>
      </c>
      <c r="H1166" s="4" t="s">
        <v>1927</v>
      </c>
    </row>
    <row r="1167" spans="1:8">
      <c r="A1167" s="4">
        <v>297</v>
      </c>
      <c r="B1167" s="4" t="s">
        <v>913</v>
      </c>
      <c r="C1167" s="4" t="s">
        <v>1925</v>
      </c>
      <c r="D1167" s="4" t="s">
        <v>914</v>
      </c>
      <c r="E1167" s="4" t="s">
        <v>3140</v>
      </c>
      <c r="F1167" s="4" t="s">
        <v>3141</v>
      </c>
      <c r="G1167" s="4"/>
      <c r="H1167" s="4"/>
    </row>
    <row r="1168" spans="1:8">
      <c r="A1168" s="4">
        <v>297</v>
      </c>
      <c r="B1168" s="4" t="s">
        <v>913</v>
      </c>
      <c r="C1168" s="4" t="s">
        <v>1930</v>
      </c>
      <c r="D1168" s="4" t="s">
        <v>423</v>
      </c>
      <c r="E1168" s="4" t="s">
        <v>968</v>
      </c>
      <c r="F1168" s="4" t="s">
        <v>1494</v>
      </c>
      <c r="G1168" s="4"/>
      <c r="H1168" s="4"/>
    </row>
    <row r="1169" spans="1:8" ht="27.6">
      <c r="A1169" s="4">
        <v>298</v>
      </c>
      <c r="B1169" s="4" t="s">
        <v>915</v>
      </c>
      <c r="C1169" s="4" t="s">
        <v>1925</v>
      </c>
      <c r="D1169" s="4" t="s">
        <v>916</v>
      </c>
      <c r="E1169" s="4" t="s">
        <v>3142</v>
      </c>
      <c r="F1169" s="4" t="s">
        <v>1780</v>
      </c>
      <c r="G1169" s="4" t="s">
        <v>34</v>
      </c>
      <c r="H1169" s="4" t="s">
        <v>1927</v>
      </c>
    </row>
    <row r="1170" spans="1:8">
      <c r="A1170" s="4">
        <v>298</v>
      </c>
      <c r="B1170" s="4" t="s">
        <v>915</v>
      </c>
      <c r="C1170" s="4" t="s">
        <v>1925</v>
      </c>
      <c r="D1170" s="4" t="s">
        <v>916</v>
      </c>
      <c r="E1170" s="4" t="s">
        <v>3143</v>
      </c>
      <c r="F1170" s="4" t="s">
        <v>3144</v>
      </c>
      <c r="G1170" s="4"/>
      <c r="H1170" s="4"/>
    </row>
    <row r="1171" spans="1:8">
      <c r="A1171" s="4">
        <v>298</v>
      </c>
      <c r="B1171" s="4" t="s">
        <v>915</v>
      </c>
      <c r="C1171" s="4" t="s">
        <v>1925</v>
      </c>
      <c r="D1171" s="4" t="s">
        <v>916</v>
      </c>
      <c r="E1171" s="4" t="s">
        <v>3145</v>
      </c>
      <c r="F1171" s="4" t="s">
        <v>3146</v>
      </c>
      <c r="G1171" s="4"/>
      <c r="H1171" s="4"/>
    </row>
    <row r="1172" spans="1:8">
      <c r="A1172" s="4">
        <v>298</v>
      </c>
      <c r="B1172" s="4" t="s">
        <v>915</v>
      </c>
      <c r="C1172" s="4" t="s">
        <v>1930</v>
      </c>
      <c r="D1172" s="4" t="s">
        <v>917</v>
      </c>
      <c r="E1172" s="4" t="s">
        <v>917</v>
      </c>
      <c r="F1172" s="4" t="s">
        <v>1781</v>
      </c>
      <c r="G1172" s="4"/>
      <c r="H1172" s="4"/>
    </row>
    <row r="1173" spans="1:8">
      <c r="A1173" s="4">
        <v>298</v>
      </c>
      <c r="B1173" s="4" t="s">
        <v>915</v>
      </c>
      <c r="C1173" s="4" t="s">
        <v>1936</v>
      </c>
      <c r="D1173" s="4" t="s">
        <v>33</v>
      </c>
      <c r="E1173" s="4" t="s">
        <v>170</v>
      </c>
      <c r="F1173" s="4" t="s">
        <v>1275</v>
      </c>
      <c r="G1173" s="4"/>
      <c r="H1173" s="4"/>
    </row>
    <row r="1174" spans="1:8" ht="27.6">
      <c r="A1174" s="4">
        <v>299</v>
      </c>
      <c r="B1174" s="4" t="s">
        <v>918</v>
      </c>
      <c r="C1174" s="4" t="s">
        <v>1925</v>
      </c>
      <c r="D1174" s="4" t="s">
        <v>919</v>
      </c>
      <c r="E1174" s="4" t="s">
        <v>3147</v>
      </c>
      <c r="F1174" s="4" t="s">
        <v>1782</v>
      </c>
      <c r="G1174" s="4" t="s">
        <v>34</v>
      </c>
      <c r="H1174" s="4" t="s">
        <v>1927</v>
      </c>
    </row>
    <row r="1175" spans="1:8">
      <c r="A1175" s="4">
        <v>299</v>
      </c>
      <c r="B1175" s="4" t="s">
        <v>918</v>
      </c>
      <c r="C1175" s="4" t="s">
        <v>1925</v>
      </c>
      <c r="D1175" s="4" t="s">
        <v>919</v>
      </c>
      <c r="E1175" s="4" t="s">
        <v>3148</v>
      </c>
      <c r="F1175" s="4" t="s">
        <v>3149</v>
      </c>
      <c r="G1175" s="4"/>
      <c r="H1175" s="4"/>
    </row>
    <row r="1176" spans="1:8">
      <c r="A1176" s="4">
        <v>299</v>
      </c>
      <c r="B1176" s="4" t="s">
        <v>918</v>
      </c>
      <c r="C1176" s="4" t="s">
        <v>1925</v>
      </c>
      <c r="D1176" s="4" t="s">
        <v>919</v>
      </c>
      <c r="E1176" s="4" t="s">
        <v>3150</v>
      </c>
      <c r="F1176" s="4" t="s">
        <v>3151</v>
      </c>
      <c r="G1176" s="4"/>
      <c r="H1176" s="4"/>
    </row>
    <row r="1177" spans="1:8">
      <c r="A1177" s="4">
        <v>299</v>
      </c>
      <c r="B1177" s="4" t="s">
        <v>918</v>
      </c>
      <c r="C1177" s="4" t="s">
        <v>1930</v>
      </c>
      <c r="D1177" s="4" t="s">
        <v>920</v>
      </c>
      <c r="E1177" s="4" t="s">
        <v>920</v>
      </c>
      <c r="F1177" s="4" t="s">
        <v>1783</v>
      </c>
      <c r="G1177" s="4"/>
      <c r="H1177" s="4"/>
    </row>
    <row r="1178" spans="1:8">
      <c r="A1178" s="4">
        <v>299</v>
      </c>
      <c r="B1178" s="4" t="s">
        <v>918</v>
      </c>
      <c r="C1178" s="4" t="s">
        <v>1936</v>
      </c>
      <c r="D1178" s="4" t="s">
        <v>33</v>
      </c>
      <c r="E1178" s="4" t="s">
        <v>170</v>
      </c>
      <c r="F1178" s="4" t="s">
        <v>1275</v>
      </c>
      <c r="G1178" s="4"/>
      <c r="H1178" s="4"/>
    </row>
    <row r="1179" spans="1:8" ht="27.6">
      <c r="A1179" s="4">
        <v>300</v>
      </c>
      <c r="B1179" s="4" t="s">
        <v>921</v>
      </c>
      <c r="C1179" s="4" t="s">
        <v>1925</v>
      </c>
      <c r="D1179" s="4" t="s">
        <v>922</v>
      </c>
      <c r="E1179" s="4" t="s">
        <v>3152</v>
      </c>
      <c r="F1179" s="4" t="s">
        <v>1784</v>
      </c>
      <c r="G1179" s="4" t="s">
        <v>34</v>
      </c>
      <c r="H1179" s="4" t="s">
        <v>1927</v>
      </c>
    </row>
    <row r="1180" spans="1:8">
      <c r="A1180" s="4">
        <v>300</v>
      </c>
      <c r="B1180" s="4" t="s">
        <v>921</v>
      </c>
      <c r="C1180" s="4" t="s">
        <v>1925</v>
      </c>
      <c r="D1180" s="4" t="s">
        <v>922</v>
      </c>
      <c r="E1180" s="4" t="s">
        <v>3153</v>
      </c>
      <c r="F1180" s="4" t="s">
        <v>3154</v>
      </c>
      <c r="G1180" s="4"/>
      <c r="H1180" s="4"/>
    </row>
    <row r="1181" spans="1:8">
      <c r="A1181" s="4">
        <v>300</v>
      </c>
      <c r="B1181" s="4" t="s">
        <v>921</v>
      </c>
      <c r="C1181" s="4" t="s">
        <v>1930</v>
      </c>
      <c r="D1181" s="4" t="s">
        <v>923</v>
      </c>
      <c r="E1181" s="4" t="s">
        <v>923</v>
      </c>
      <c r="F1181" s="4" t="s">
        <v>1785</v>
      </c>
      <c r="G1181" s="4"/>
      <c r="H1181" s="4"/>
    </row>
    <row r="1182" spans="1:8" ht="27.6">
      <c r="A1182" s="4">
        <v>301</v>
      </c>
      <c r="B1182" s="4" t="s">
        <v>924</v>
      </c>
      <c r="C1182" s="4" t="s">
        <v>1925</v>
      </c>
      <c r="D1182" s="4" t="s">
        <v>925</v>
      </c>
      <c r="E1182" s="4" t="s">
        <v>3155</v>
      </c>
      <c r="F1182" s="4" t="s">
        <v>1786</v>
      </c>
      <c r="G1182" s="4" t="s">
        <v>34</v>
      </c>
      <c r="H1182" s="4" t="s">
        <v>1927</v>
      </c>
    </row>
    <row r="1183" spans="1:8">
      <c r="A1183" s="4">
        <v>301</v>
      </c>
      <c r="B1183" s="4" t="s">
        <v>924</v>
      </c>
      <c r="C1183" s="4" t="s">
        <v>1925</v>
      </c>
      <c r="D1183" s="4" t="s">
        <v>925</v>
      </c>
      <c r="E1183" s="4" t="s">
        <v>3156</v>
      </c>
      <c r="F1183" s="4" t="s">
        <v>3157</v>
      </c>
      <c r="G1183" s="4"/>
      <c r="H1183" s="4"/>
    </row>
    <row r="1184" spans="1:8">
      <c r="A1184" s="4">
        <v>301</v>
      </c>
      <c r="B1184" s="4" t="s">
        <v>924</v>
      </c>
      <c r="C1184" s="4" t="s">
        <v>1925</v>
      </c>
      <c r="D1184" s="4" t="s">
        <v>925</v>
      </c>
      <c r="E1184" s="4" t="s">
        <v>3158</v>
      </c>
      <c r="F1184" s="4" t="s">
        <v>3159</v>
      </c>
      <c r="G1184" s="4"/>
      <c r="H1184" s="4"/>
    </row>
    <row r="1185" spans="1:8">
      <c r="A1185" s="4">
        <v>301</v>
      </c>
      <c r="B1185" s="4" t="s">
        <v>924</v>
      </c>
      <c r="C1185" s="4" t="s">
        <v>1930</v>
      </c>
      <c r="D1185" s="4" t="s">
        <v>926</v>
      </c>
      <c r="E1185" s="4" t="s">
        <v>926</v>
      </c>
      <c r="F1185" s="4" t="s">
        <v>1787</v>
      </c>
      <c r="G1185" s="4"/>
      <c r="H1185" s="4"/>
    </row>
    <row r="1186" spans="1:8">
      <c r="A1186" s="4">
        <v>301</v>
      </c>
      <c r="B1186" s="4" t="s">
        <v>924</v>
      </c>
      <c r="C1186" s="4" t="s">
        <v>1936</v>
      </c>
      <c r="D1186" s="4" t="s">
        <v>33</v>
      </c>
      <c r="E1186" s="4" t="s">
        <v>170</v>
      </c>
      <c r="F1186" s="4" t="s">
        <v>1275</v>
      </c>
      <c r="G1186" s="4"/>
      <c r="H1186" s="4"/>
    </row>
    <row r="1187" spans="1:8" ht="27.6">
      <c r="A1187" s="4">
        <v>302</v>
      </c>
      <c r="B1187" s="4" t="s">
        <v>927</v>
      </c>
      <c r="C1187" s="4" t="s">
        <v>1925</v>
      </c>
      <c r="D1187" s="4" t="s">
        <v>928</v>
      </c>
      <c r="E1187" s="4" t="s">
        <v>3160</v>
      </c>
      <c r="F1187" s="4" t="s">
        <v>1788</v>
      </c>
      <c r="G1187" s="4" t="s">
        <v>424</v>
      </c>
      <c r="H1187" s="4" t="s">
        <v>1927</v>
      </c>
    </row>
    <row r="1188" spans="1:8">
      <c r="A1188" s="4">
        <v>302</v>
      </c>
      <c r="B1188" s="4" t="s">
        <v>927</v>
      </c>
      <c r="C1188" s="4" t="s">
        <v>1925</v>
      </c>
      <c r="D1188" s="4" t="s">
        <v>928</v>
      </c>
      <c r="E1188" s="4" t="s">
        <v>3161</v>
      </c>
      <c r="F1188" s="4" t="s">
        <v>3162</v>
      </c>
      <c r="G1188" s="4"/>
      <c r="H1188" s="4"/>
    </row>
    <row r="1189" spans="1:8">
      <c r="A1189" s="4">
        <v>302</v>
      </c>
      <c r="B1189" s="4" t="s">
        <v>927</v>
      </c>
      <c r="C1189" s="4" t="s">
        <v>1930</v>
      </c>
      <c r="D1189" s="4" t="s">
        <v>423</v>
      </c>
      <c r="E1189" s="4" t="s">
        <v>968</v>
      </c>
      <c r="F1189" s="4" t="s">
        <v>1494</v>
      </c>
      <c r="G1189" s="4"/>
      <c r="H1189" s="4"/>
    </row>
    <row r="1190" spans="1:8" ht="27.6">
      <c r="A1190" s="4">
        <v>303</v>
      </c>
      <c r="B1190" s="4" t="s">
        <v>929</v>
      </c>
      <c r="C1190" s="4" t="s">
        <v>1925</v>
      </c>
      <c r="D1190" s="4" t="s">
        <v>930</v>
      </c>
      <c r="E1190" s="4" t="s">
        <v>3163</v>
      </c>
      <c r="F1190" s="4" t="s">
        <v>1789</v>
      </c>
      <c r="G1190" s="4" t="s">
        <v>424</v>
      </c>
      <c r="H1190" s="4" t="s">
        <v>1927</v>
      </c>
    </row>
    <row r="1191" spans="1:8">
      <c r="A1191" s="4">
        <v>303</v>
      </c>
      <c r="B1191" s="4" t="s">
        <v>929</v>
      </c>
      <c r="C1191" s="4" t="s">
        <v>1925</v>
      </c>
      <c r="D1191" s="4" t="s">
        <v>930</v>
      </c>
      <c r="E1191" s="4" t="s">
        <v>3164</v>
      </c>
      <c r="F1191" s="4" t="s">
        <v>3165</v>
      </c>
      <c r="G1191" s="4"/>
      <c r="H1191" s="4"/>
    </row>
    <row r="1192" spans="1:8">
      <c r="A1192" s="4">
        <v>303</v>
      </c>
      <c r="B1192" s="4" t="s">
        <v>929</v>
      </c>
      <c r="C1192" s="4" t="s">
        <v>1925</v>
      </c>
      <c r="D1192" s="4" t="s">
        <v>930</v>
      </c>
      <c r="E1192" s="4" t="s">
        <v>3166</v>
      </c>
      <c r="F1192" s="4" t="s">
        <v>3167</v>
      </c>
      <c r="G1192" s="4"/>
      <c r="H1192" s="4"/>
    </row>
    <row r="1193" spans="1:8">
      <c r="A1193" s="4">
        <v>303</v>
      </c>
      <c r="B1193" s="4" t="s">
        <v>929</v>
      </c>
      <c r="C1193" s="4" t="s">
        <v>1930</v>
      </c>
      <c r="D1193" s="4" t="s">
        <v>423</v>
      </c>
      <c r="E1193" s="4" t="s">
        <v>968</v>
      </c>
      <c r="F1193" s="4" t="s">
        <v>1494</v>
      </c>
      <c r="G1193" s="4"/>
      <c r="H1193" s="4"/>
    </row>
    <row r="1194" spans="1:8" ht="27.6">
      <c r="A1194" s="4">
        <v>304</v>
      </c>
      <c r="B1194" s="4" t="s">
        <v>931</v>
      </c>
      <c r="C1194" s="4" t="s">
        <v>1925</v>
      </c>
      <c r="D1194" s="4" t="s">
        <v>932</v>
      </c>
      <c r="E1194" s="4" t="s">
        <v>3168</v>
      </c>
      <c r="F1194" s="4" t="s">
        <v>1790</v>
      </c>
      <c r="G1194" s="4" t="s">
        <v>424</v>
      </c>
      <c r="H1194" s="4" t="s">
        <v>1927</v>
      </c>
    </row>
    <row r="1195" spans="1:8">
      <c r="A1195" s="4">
        <v>304</v>
      </c>
      <c r="B1195" s="4" t="s">
        <v>931</v>
      </c>
      <c r="C1195" s="4" t="s">
        <v>1925</v>
      </c>
      <c r="D1195" s="4" t="s">
        <v>932</v>
      </c>
      <c r="E1195" s="4" t="s">
        <v>3169</v>
      </c>
      <c r="F1195" s="4" t="s">
        <v>3170</v>
      </c>
      <c r="G1195" s="4"/>
      <c r="H1195" s="4"/>
    </row>
    <row r="1196" spans="1:8">
      <c r="A1196" s="4">
        <v>304</v>
      </c>
      <c r="B1196" s="4" t="s">
        <v>931</v>
      </c>
      <c r="C1196" s="4" t="s">
        <v>1930</v>
      </c>
      <c r="D1196" s="4" t="s">
        <v>423</v>
      </c>
      <c r="E1196" s="4" t="s">
        <v>968</v>
      </c>
      <c r="F1196" s="4" t="s">
        <v>1494</v>
      </c>
      <c r="G1196" s="4"/>
      <c r="H1196" s="4"/>
    </row>
    <row r="1197" spans="1:8" ht="27.6">
      <c r="A1197" s="4">
        <v>305</v>
      </c>
      <c r="B1197" s="4" t="s">
        <v>933</v>
      </c>
      <c r="C1197" s="4" t="s">
        <v>1925</v>
      </c>
      <c r="D1197" s="4" t="s">
        <v>934</v>
      </c>
      <c r="E1197" s="4" t="s">
        <v>3171</v>
      </c>
      <c r="F1197" s="4" t="s">
        <v>1791</v>
      </c>
      <c r="G1197" s="4" t="s">
        <v>937</v>
      </c>
      <c r="H1197" s="4" t="s">
        <v>1927</v>
      </c>
    </row>
    <row r="1198" spans="1:8">
      <c r="A1198" s="4">
        <v>305</v>
      </c>
      <c r="B1198" s="4" t="s">
        <v>933</v>
      </c>
      <c r="C1198" s="4" t="s">
        <v>1925</v>
      </c>
      <c r="D1198" s="4" t="s">
        <v>934</v>
      </c>
      <c r="E1198" s="4" t="s">
        <v>3172</v>
      </c>
      <c r="F1198" s="4" t="s">
        <v>3173</v>
      </c>
      <c r="G1198" s="4"/>
      <c r="H1198" s="4"/>
    </row>
    <row r="1199" spans="1:8">
      <c r="A1199" s="4">
        <v>305</v>
      </c>
      <c r="B1199" s="4" t="s">
        <v>933</v>
      </c>
      <c r="C1199" s="4" t="s">
        <v>1925</v>
      </c>
      <c r="D1199" s="4" t="s">
        <v>934</v>
      </c>
      <c r="E1199" s="4" t="s">
        <v>3174</v>
      </c>
      <c r="F1199" s="4" t="s">
        <v>3175</v>
      </c>
      <c r="G1199" s="4"/>
      <c r="H1199" s="4"/>
    </row>
    <row r="1200" spans="1:8">
      <c r="A1200" s="4">
        <v>305</v>
      </c>
      <c r="B1200" s="4" t="s">
        <v>933</v>
      </c>
      <c r="C1200" s="4" t="s">
        <v>1930</v>
      </c>
      <c r="D1200" s="4" t="s">
        <v>935</v>
      </c>
      <c r="E1200" s="4" t="s">
        <v>935</v>
      </c>
      <c r="F1200" s="4" t="s">
        <v>1792</v>
      </c>
      <c r="G1200" s="4"/>
      <c r="H1200" s="4"/>
    </row>
    <row r="1201" spans="1:8">
      <c r="A1201" s="4">
        <v>305</v>
      </c>
      <c r="B1201" s="4" t="s">
        <v>933</v>
      </c>
      <c r="C1201" s="4" t="s">
        <v>1936</v>
      </c>
      <c r="D1201" s="4" t="s">
        <v>936</v>
      </c>
      <c r="E1201" s="4" t="s">
        <v>405</v>
      </c>
      <c r="F1201" s="4" t="s">
        <v>1484</v>
      </c>
      <c r="G1201" s="4"/>
      <c r="H1201" s="4"/>
    </row>
    <row r="1202" spans="1:8" ht="27.6">
      <c r="A1202" s="4">
        <v>306</v>
      </c>
      <c r="B1202" s="4" t="s">
        <v>939</v>
      </c>
      <c r="C1202" s="4" t="s">
        <v>1925</v>
      </c>
      <c r="D1202" s="4" t="s">
        <v>940</v>
      </c>
      <c r="E1202" s="4" t="s">
        <v>3176</v>
      </c>
      <c r="F1202" s="4" t="s">
        <v>1793</v>
      </c>
      <c r="G1202" s="4" t="s">
        <v>211</v>
      </c>
      <c r="H1202" s="4" t="s">
        <v>1927</v>
      </c>
    </row>
    <row r="1203" spans="1:8">
      <c r="A1203" s="4">
        <v>306</v>
      </c>
      <c r="B1203" s="4" t="s">
        <v>939</v>
      </c>
      <c r="C1203" s="4" t="s">
        <v>1925</v>
      </c>
      <c r="D1203" s="4" t="s">
        <v>940</v>
      </c>
      <c r="E1203" s="4" t="s">
        <v>3177</v>
      </c>
      <c r="F1203" s="4" t="s">
        <v>3178</v>
      </c>
      <c r="G1203" s="4"/>
      <c r="H1203" s="4"/>
    </row>
    <row r="1204" spans="1:8">
      <c r="A1204" s="4">
        <v>306</v>
      </c>
      <c r="B1204" s="4" t="s">
        <v>939</v>
      </c>
      <c r="C1204" s="4" t="s">
        <v>1930</v>
      </c>
      <c r="D1204" s="4" t="s">
        <v>941</v>
      </c>
      <c r="E1204" s="4" t="s">
        <v>941</v>
      </c>
      <c r="F1204" s="4" t="s">
        <v>1794</v>
      </c>
      <c r="G1204" s="4"/>
      <c r="H1204" s="4"/>
    </row>
    <row r="1205" spans="1:8" ht="27.6">
      <c r="A1205" s="4">
        <v>307</v>
      </c>
      <c r="B1205" s="4" t="s">
        <v>942</v>
      </c>
      <c r="C1205" s="4" t="s">
        <v>1925</v>
      </c>
      <c r="D1205" s="4" t="s">
        <v>943</v>
      </c>
      <c r="E1205" s="4" t="s">
        <v>3179</v>
      </c>
      <c r="F1205" s="4" t="s">
        <v>1795</v>
      </c>
      <c r="G1205" s="4" t="s">
        <v>424</v>
      </c>
      <c r="H1205" s="4" t="s">
        <v>1927</v>
      </c>
    </row>
    <row r="1206" spans="1:8">
      <c r="A1206" s="4">
        <v>307</v>
      </c>
      <c r="B1206" s="4" t="s">
        <v>942</v>
      </c>
      <c r="C1206" s="4" t="s">
        <v>1925</v>
      </c>
      <c r="D1206" s="4" t="s">
        <v>943</v>
      </c>
      <c r="E1206" s="4" t="s">
        <v>3180</v>
      </c>
      <c r="F1206" s="4" t="s">
        <v>3181</v>
      </c>
      <c r="G1206" s="4"/>
      <c r="H1206" s="4"/>
    </row>
    <row r="1207" spans="1:8">
      <c r="A1207" s="4">
        <v>307</v>
      </c>
      <c r="B1207" s="4" t="s">
        <v>942</v>
      </c>
      <c r="C1207" s="4" t="s">
        <v>1925</v>
      </c>
      <c r="D1207" s="4" t="s">
        <v>943</v>
      </c>
      <c r="E1207" s="4" t="s">
        <v>3182</v>
      </c>
      <c r="F1207" s="4" t="s">
        <v>3183</v>
      </c>
      <c r="G1207" s="4"/>
      <c r="H1207" s="4"/>
    </row>
    <row r="1208" spans="1:8">
      <c r="A1208" s="4">
        <v>307</v>
      </c>
      <c r="B1208" s="4" t="s">
        <v>942</v>
      </c>
      <c r="C1208" s="4" t="s">
        <v>1930</v>
      </c>
      <c r="D1208" s="4" t="s">
        <v>423</v>
      </c>
      <c r="E1208" s="4" t="s">
        <v>968</v>
      </c>
      <c r="F1208" s="4" t="s">
        <v>1494</v>
      </c>
      <c r="G1208" s="4"/>
      <c r="H1208" s="4"/>
    </row>
    <row r="1209" spans="1:8" ht="27.6">
      <c r="A1209" s="4">
        <v>308</v>
      </c>
      <c r="B1209" s="4" t="s">
        <v>944</v>
      </c>
      <c r="C1209" s="4" t="s">
        <v>1925</v>
      </c>
      <c r="D1209" s="4" t="s">
        <v>945</v>
      </c>
      <c r="E1209" s="4" t="s">
        <v>3184</v>
      </c>
      <c r="F1209" s="4" t="s">
        <v>1796</v>
      </c>
      <c r="G1209" s="4" t="s">
        <v>424</v>
      </c>
      <c r="H1209" s="4" t="s">
        <v>1927</v>
      </c>
    </row>
    <row r="1210" spans="1:8">
      <c r="A1210" s="4">
        <v>308</v>
      </c>
      <c r="B1210" s="4" t="s">
        <v>944</v>
      </c>
      <c r="C1210" s="4" t="s">
        <v>1925</v>
      </c>
      <c r="D1210" s="4" t="s">
        <v>945</v>
      </c>
      <c r="E1210" s="4" t="s">
        <v>3185</v>
      </c>
      <c r="F1210" s="4" t="s">
        <v>3186</v>
      </c>
      <c r="G1210" s="4"/>
      <c r="H1210" s="4"/>
    </row>
    <row r="1211" spans="1:8">
      <c r="A1211" s="4">
        <v>308</v>
      </c>
      <c r="B1211" s="4" t="s">
        <v>944</v>
      </c>
      <c r="C1211" s="4" t="s">
        <v>1930</v>
      </c>
      <c r="D1211" s="4" t="s">
        <v>423</v>
      </c>
      <c r="E1211" s="4" t="s">
        <v>968</v>
      </c>
      <c r="F1211" s="4" t="s">
        <v>1494</v>
      </c>
      <c r="G1211" s="4"/>
      <c r="H1211" s="4"/>
    </row>
    <row r="1212" spans="1:8" ht="27.6">
      <c r="A1212" s="4">
        <v>309</v>
      </c>
      <c r="B1212" s="4" t="s">
        <v>946</v>
      </c>
      <c r="C1212" s="4" t="s">
        <v>1925</v>
      </c>
      <c r="D1212" s="4" t="s">
        <v>947</v>
      </c>
      <c r="E1212" s="4" t="s">
        <v>3187</v>
      </c>
      <c r="F1212" s="4" t="s">
        <v>1797</v>
      </c>
      <c r="G1212" s="4" t="s">
        <v>424</v>
      </c>
      <c r="H1212" s="4" t="s">
        <v>1927</v>
      </c>
    </row>
    <row r="1213" spans="1:8">
      <c r="A1213" s="4">
        <v>309</v>
      </c>
      <c r="B1213" s="4" t="s">
        <v>946</v>
      </c>
      <c r="C1213" s="4" t="s">
        <v>1925</v>
      </c>
      <c r="D1213" s="4" t="s">
        <v>947</v>
      </c>
      <c r="E1213" s="4" t="s">
        <v>3188</v>
      </c>
      <c r="F1213" s="4" t="s">
        <v>3189</v>
      </c>
      <c r="G1213" s="4"/>
      <c r="H1213" s="4"/>
    </row>
    <row r="1214" spans="1:8">
      <c r="A1214" s="4">
        <v>309</v>
      </c>
      <c r="B1214" s="4" t="s">
        <v>946</v>
      </c>
      <c r="C1214" s="4" t="s">
        <v>1925</v>
      </c>
      <c r="D1214" s="4" t="s">
        <v>947</v>
      </c>
      <c r="E1214" s="4" t="s">
        <v>3190</v>
      </c>
      <c r="F1214" s="4" t="s">
        <v>3191</v>
      </c>
      <c r="G1214" s="4"/>
      <c r="H1214" s="4"/>
    </row>
    <row r="1215" spans="1:8">
      <c r="A1215" s="4">
        <v>309</v>
      </c>
      <c r="B1215" s="4" t="s">
        <v>946</v>
      </c>
      <c r="C1215" s="4" t="s">
        <v>1930</v>
      </c>
      <c r="D1215" s="4" t="s">
        <v>423</v>
      </c>
      <c r="E1215" s="4" t="s">
        <v>968</v>
      </c>
      <c r="F1215" s="4" t="s">
        <v>1494</v>
      </c>
      <c r="G1215" s="4"/>
      <c r="H1215" s="4"/>
    </row>
    <row r="1216" spans="1:8" ht="27.6">
      <c r="A1216" s="4">
        <v>310</v>
      </c>
      <c r="B1216" s="4" t="s">
        <v>948</v>
      </c>
      <c r="C1216" s="4" t="s">
        <v>1925</v>
      </c>
      <c r="D1216" s="4" t="s">
        <v>949</v>
      </c>
      <c r="E1216" s="4" t="s">
        <v>3192</v>
      </c>
      <c r="F1216" s="4" t="s">
        <v>1798</v>
      </c>
      <c r="G1216" s="4" t="s">
        <v>424</v>
      </c>
      <c r="H1216" s="4" t="s">
        <v>1927</v>
      </c>
    </row>
    <row r="1217" spans="1:8">
      <c r="A1217" s="4">
        <v>310</v>
      </c>
      <c r="B1217" s="4" t="s">
        <v>948</v>
      </c>
      <c r="C1217" s="4" t="s">
        <v>1925</v>
      </c>
      <c r="D1217" s="4" t="s">
        <v>949</v>
      </c>
      <c r="E1217" s="4" t="s">
        <v>3193</v>
      </c>
      <c r="F1217" s="4" t="s">
        <v>3194</v>
      </c>
      <c r="G1217" s="4"/>
      <c r="H1217" s="4"/>
    </row>
    <row r="1218" spans="1:8">
      <c r="A1218" s="4">
        <v>310</v>
      </c>
      <c r="B1218" s="4" t="s">
        <v>948</v>
      </c>
      <c r="C1218" s="4" t="s">
        <v>1925</v>
      </c>
      <c r="D1218" s="4" t="s">
        <v>949</v>
      </c>
      <c r="E1218" s="4" t="s">
        <v>3195</v>
      </c>
      <c r="F1218" s="4" t="s">
        <v>3196</v>
      </c>
      <c r="G1218" s="4"/>
      <c r="H1218" s="4"/>
    </row>
    <row r="1219" spans="1:8">
      <c r="A1219" s="4">
        <v>310</v>
      </c>
      <c r="B1219" s="4" t="s">
        <v>948</v>
      </c>
      <c r="C1219" s="4" t="s">
        <v>1930</v>
      </c>
      <c r="D1219" s="4" t="s">
        <v>950</v>
      </c>
      <c r="E1219" s="4" t="s">
        <v>950</v>
      </c>
      <c r="F1219" s="4" t="s">
        <v>1799</v>
      </c>
      <c r="G1219" s="4"/>
      <c r="H1219" s="4"/>
    </row>
    <row r="1220" spans="1:8">
      <c r="A1220" s="4">
        <v>310</v>
      </c>
      <c r="B1220" s="4" t="s">
        <v>948</v>
      </c>
      <c r="C1220" s="4" t="s">
        <v>1936</v>
      </c>
      <c r="D1220" s="4" t="s">
        <v>423</v>
      </c>
      <c r="E1220" s="4" t="s">
        <v>968</v>
      </c>
      <c r="F1220" s="4" t="s">
        <v>1494</v>
      </c>
      <c r="G1220" s="4"/>
      <c r="H1220" s="4"/>
    </row>
    <row r="1221" spans="1:8" ht="27.6">
      <c r="A1221" s="4">
        <v>311</v>
      </c>
      <c r="B1221" s="4" t="s">
        <v>951</v>
      </c>
      <c r="C1221" s="4" t="s">
        <v>1925</v>
      </c>
      <c r="D1221" s="4" t="s">
        <v>952</v>
      </c>
      <c r="E1221" s="4" t="s">
        <v>3197</v>
      </c>
      <c r="F1221" s="4" t="s">
        <v>1800</v>
      </c>
      <c r="G1221" s="4" t="s">
        <v>39</v>
      </c>
      <c r="H1221" s="4" t="s">
        <v>1927</v>
      </c>
    </row>
    <row r="1222" spans="1:8">
      <c r="A1222" s="4">
        <v>311</v>
      </c>
      <c r="B1222" s="4" t="s">
        <v>951</v>
      </c>
      <c r="C1222" s="4" t="s">
        <v>1925</v>
      </c>
      <c r="D1222" s="4" t="s">
        <v>952</v>
      </c>
      <c r="E1222" s="4" t="s">
        <v>3198</v>
      </c>
      <c r="F1222" s="4" t="s">
        <v>3199</v>
      </c>
      <c r="G1222" s="4"/>
      <c r="H1222" s="4"/>
    </row>
    <row r="1223" spans="1:8">
      <c r="A1223" s="4">
        <v>311</v>
      </c>
      <c r="B1223" s="4" t="s">
        <v>951</v>
      </c>
      <c r="C1223" s="4" t="s">
        <v>1930</v>
      </c>
      <c r="D1223" s="4" t="s">
        <v>953</v>
      </c>
      <c r="E1223" s="4" t="s">
        <v>953</v>
      </c>
      <c r="F1223" s="4" t="s">
        <v>1801</v>
      </c>
      <c r="G1223" s="4"/>
      <c r="H1223" s="4"/>
    </row>
    <row r="1224" spans="1:8">
      <c r="A1224" s="4">
        <v>311</v>
      </c>
      <c r="B1224" s="4" t="s">
        <v>951</v>
      </c>
      <c r="C1224" s="4" t="s">
        <v>1936</v>
      </c>
      <c r="D1224" s="4" t="s">
        <v>97</v>
      </c>
      <c r="E1224" s="4" t="s">
        <v>959</v>
      </c>
      <c r="F1224" s="4" t="s">
        <v>1309</v>
      </c>
      <c r="G1224" s="4"/>
      <c r="H1224" s="4"/>
    </row>
    <row r="1225" spans="1:8" ht="27.6">
      <c r="A1225" s="4">
        <v>312</v>
      </c>
      <c r="B1225" s="4" t="s">
        <v>954</v>
      </c>
      <c r="C1225" s="4" t="s">
        <v>1925</v>
      </c>
      <c r="D1225" s="4" t="s">
        <v>955</v>
      </c>
      <c r="E1225" s="4" t="s">
        <v>3200</v>
      </c>
      <c r="F1225" s="4" t="s">
        <v>1802</v>
      </c>
      <c r="G1225" s="4" t="s">
        <v>39</v>
      </c>
      <c r="H1225" s="4" t="s">
        <v>1927</v>
      </c>
    </row>
    <row r="1226" spans="1:8">
      <c r="A1226" s="4">
        <v>312</v>
      </c>
      <c r="B1226" s="4" t="s">
        <v>954</v>
      </c>
      <c r="C1226" s="4" t="s">
        <v>1925</v>
      </c>
      <c r="D1226" s="4" t="s">
        <v>955</v>
      </c>
      <c r="E1226" s="4" t="s">
        <v>3201</v>
      </c>
      <c r="F1226" s="4" t="s">
        <v>3202</v>
      </c>
      <c r="G1226" s="4"/>
      <c r="H1226" s="4"/>
    </row>
    <row r="1227" spans="1:8">
      <c r="A1227" s="4">
        <v>312</v>
      </c>
      <c r="B1227" s="4" t="s">
        <v>954</v>
      </c>
      <c r="C1227" s="4" t="s">
        <v>1925</v>
      </c>
      <c r="D1227" s="4" t="s">
        <v>955</v>
      </c>
      <c r="E1227" s="4" t="s">
        <v>3203</v>
      </c>
      <c r="F1227" s="4" t="s">
        <v>3204</v>
      </c>
      <c r="G1227" s="4"/>
      <c r="H1227" s="4"/>
    </row>
    <row r="1228" spans="1:8">
      <c r="A1228" s="4">
        <v>312</v>
      </c>
      <c r="B1228" s="4" t="s">
        <v>954</v>
      </c>
      <c r="C1228" s="4" t="s">
        <v>1930</v>
      </c>
      <c r="D1228" s="4" t="s">
        <v>956</v>
      </c>
      <c r="E1228" s="4" t="s">
        <v>956</v>
      </c>
      <c r="F1228" s="4" t="s">
        <v>1803</v>
      </c>
      <c r="G1228" s="4"/>
      <c r="H1228" s="4"/>
    </row>
    <row r="1229" spans="1:8">
      <c r="A1229" s="4">
        <v>312</v>
      </c>
      <c r="B1229" s="4" t="s">
        <v>954</v>
      </c>
      <c r="C1229" s="4" t="s">
        <v>1936</v>
      </c>
      <c r="D1229" s="4" t="s">
        <v>97</v>
      </c>
      <c r="E1229" s="4" t="s">
        <v>959</v>
      </c>
      <c r="F1229" s="4" t="s">
        <v>1309</v>
      </c>
      <c r="G1229" s="4"/>
      <c r="H1229" s="4"/>
    </row>
    <row r="1230" spans="1:8" ht="27.6">
      <c r="A1230" s="4">
        <v>313</v>
      </c>
      <c r="B1230" s="4" t="s">
        <v>957</v>
      </c>
      <c r="C1230" s="4" t="s">
        <v>1925</v>
      </c>
      <c r="D1230" s="4" t="s">
        <v>958</v>
      </c>
      <c r="E1230" s="4" t="s">
        <v>3205</v>
      </c>
      <c r="F1230" s="4" t="s">
        <v>1804</v>
      </c>
      <c r="G1230" s="4" t="s">
        <v>39</v>
      </c>
      <c r="H1230" s="4" t="s">
        <v>1927</v>
      </c>
    </row>
    <row r="1231" spans="1:8">
      <c r="A1231" s="4">
        <v>313</v>
      </c>
      <c r="B1231" s="4" t="s">
        <v>957</v>
      </c>
      <c r="C1231" s="4" t="s">
        <v>1925</v>
      </c>
      <c r="D1231" s="4" t="s">
        <v>958</v>
      </c>
      <c r="E1231" s="4" t="s">
        <v>3206</v>
      </c>
      <c r="F1231" s="4" t="s">
        <v>3207</v>
      </c>
      <c r="G1231" s="4"/>
      <c r="H1231" s="4"/>
    </row>
    <row r="1232" spans="1:8">
      <c r="A1232" s="4">
        <v>313</v>
      </c>
      <c r="B1232" s="4" t="s">
        <v>957</v>
      </c>
      <c r="C1232" s="4" t="s">
        <v>1930</v>
      </c>
      <c r="D1232" s="4" t="s">
        <v>959</v>
      </c>
      <c r="E1232" s="4" t="s">
        <v>959</v>
      </c>
      <c r="F1232" s="4" t="s">
        <v>1309</v>
      </c>
      <c r="G1232" s="4"/>
      <c r="H1232" s="4"/>
    </row>
    <row r="1233" spans="1:8">
      <c r="A1233" s="4">
        <v>313</v>
      </c>
      <c r="B1233" s="4" t="s">
        <v>957</v>
      </c>
      <c r="C1233" s="4" t="s">
        <v>1936</v>
      </c>
      <c r="D1233" s="4" t="s">
        <v>97</v>
      </c>
      <c r="E1233" s="4" t="s">
        <v>959</v>
      </c>
      <c r="F1233" s="4" t="s">
        <v>1309</v>
      </c>
      <c r="G1233" s="4"/>
      <c r="H1233" s="4"/>
    </row>
    <row r="1234" spans="1:8" ht="27.6">
      <c r="A1234" s="4">
        <v>314</v>
      </c>
      <c r="B1234" s="4" t="s">
        <v>960</v>
      </c>
      <c r="C1234" s="4" t="s">
        <v>1925</v>
      </c>
      <c r="D1234" s="4" t="s">
        <v>961</v>
      </c>
      <c r="E1234" s="4" t="s">
        <v>3208</v>
      </c>
      <c r="F1234" s="4" t="s">
        <v>3209</v>
      </c>
      <c r="G1234" s="4" t="s">
        <v>39</v>
      </c>
      <c r="H1234" s="4" t="s">
        <v>1927</v>
      </c>
    </row>
    <row r="1235" spans="1:8" ht="27.6">
      <c r="A1235" s="4">
        <v>314</v>
      </c>
      <c r="B1235" s="4" t="s">
        <v>960</v>
      </c>
      <c r="C1235" s="4" t="s">
        <v>1925</v>
      </c>
      <c r="D1235" s="4" t="s">
        <v>961</v>
      </c>
      <c r="E1235" s="4" t="s">
        <v>3210</v>
      </c>
      <c r="F1235" s="4" t="s">
        <v>1805</v>
      </c>
      <c r="G1235" s="4"/>
      <c r="H1235" s="4"/>
    </row>
    <row r="1236" spans="1:8" ht="27.6">
      <c r="A1236" s="4">
        <v>314</v>
      </c>
      <c r="B1236" s="4" t="s">
        <v>960</v>
      </c>
      <c r="C1236" s="4" t="s">
        <v>1925</v>
      </c>
      <c r="D1236" s="4" t="s">
        <v>961</v>
      </c>
      <c r="E1236" s="4" t="s">
        <v>3211</v>
      </c>
      <c r="F1236" s="4" t="s">
        <v>3212</v>
      </c>
      <c r="G1236" s="4"/>
      <c r="H1236" s="4"/>
    </row>
    <row r="1237" spans="1:8">
      <c r="A1237" s="4">
        <v>314</v>
      </c>
      <c r="B1237" s="4" t="s">
        <v>960</v>
      </c>
      <c r="C1237" s="4" t="s">
        <v>1930</v>
      </c>
      <c r="D1237" s="4" t="s">
        <v>962</v>
      </c>
      <c r="E1237" s="4" t="s">
        <v>962</v>
      </c>
      <c r="F1237" s="4" t="s">
        <v>1344</v>
      </c>
      <c r="G1237" s="4"/>
      <c r="H1237" s="4"/>
    </row>
    <row r="1238" spans="1:8">
      <c r="A1238" s="4">
        <v>314</v>
      </c>
      <c r="B1238" s="4" t="s">
        <v>960</v>
      </c>
      <c r="C1238" s="4" t="s">
        <v>1936</v>
      </c>
      <c r="D1238" s="4" t="s">
        <v>97</v>
      </c>
      <c r="E1238" s="4" t="s">
        <v>959</v>
      </c>
      <c r="F1238" s="4" t="s">
        <v>1309</v>
      </c>
      <c r="G1238" s="4"/>
      <c r="H1238" s="4"/>
    </row>
    <row r="1239" spans="1:8" ht="27.6">
      <c r="A1239" s="4">
        <v>315</v>
      </c>
      <c r="B1239" s="4" t="s">
        <v>963</v>
      </c>
      <c r="C1239" s="4" t="s">
        <v>1925</v>
      </c>
      <c r="D1239" s="4" t="s">
        <v>964</v>
      </c>
      <c r="E1239" s="4" t="s">
        <v>3213</v>
      </c>
      <c r="F1239" s="4" t="s">
        <v>1806</v>
      </c>
      <c r="G1239" s="4" t="s">
        <v>79</v>
      </c>
      <c r="H1239" s="4" t="s">
        <v>1927</v>
      </c>
    </row>
    <row r="1240" spans="1:8">
      <c r="A1240" s="4">
        <v>315</v>
      </c>
      <c r="B1240" s="4" t="s">
        <v>963</v>
      </c>
      <c r="C1240" s="4" t="s">
        <v>1925</v>
      </c>
      <c r="D1240" s="4" t="s">
        <v>964</v>
      </c>
      <c r="E1240" s="4" t="s">
        <v>3214</v>
      </c>
      <c r="F1240" s="4" t="s">
        <v>3215</v>
      </c>
      <c r="G1240" s="4"/>
      <c r="H1240" s="4"/>
    </row>
    <row r="1241" spans="1:8">
      <c r="A1241" s="4">
        <v>315</v>
      </c>
      <c r="B1241" s="4" t="s">
        <v>963</v>
      </c>
      <c r="C1241" s="4" t="s">
        <v>1930</v>
      </c>
      <c r="D1241" s="4" t="s">
        <v>965</v>
      </c>
      <c r="E1241" s="4" t="s">
        <v>965</v>
      </c>
      <c r="F1241" s="4" t="s">
        <v>1807</v>
      </c>
      <c r="G1241" s="4"/>
      <c r="H1241" s="4"/>
    </row>
    <row r="1242" spans="1:8" ht="27.6">
      <c r="A1242" s="4">
        <v>316</v>
      </c>
      <c r="B1242" s="4" t="s">
        <v>966</v>
      </c>
      <c r="C1242" s="4" t="s">
        <v>1925</v>
      </c>
      <c r="D1242" s="4" t="s">
        <v>967</v>
      </c>
      <c r="E1242" s="4" t="s">
        <v>3216</v>
      </c>
      <c r="F1242" s="4" t="s">
        <v>1808</v>
      </c>
      <c r="G1242" s="4" t="s">
        <v>79</v>
      </c>
      <c r="H1242" s="4" t="s">
        <v>1927</v>
      </c>
    </row>
    <row r="1243" spans="1:8">
      <c r="A1243" s="4">
        <v>316</v>
      </c>
      <c r="B1243" s="4" t="s">
        <v>966</v>
      </c>
      <c r="C1243" s="4" t="s">
        <v>1925</v>
      </c>
      <c r="D1243" s="4" t="s">
        <v>967</v>
      </c>
      <c r="E1243" s="4" t="s">
        <v>3217</v>
      </c>
      <c r="F1243" s="4" t="s">
        <v>3218</v>
      </c>
      <c r="G1243" s="4"/>
      <c r="H1243" s="4"/>
    </row>
    <row r="1244" spans="1:8">
      <c r="A1244" s="4">
        <v>316</v>
      </c>
      <c r="B1244" s="4" t="s">
        <v>966</v>
      </c>
      <c r="C1244" s="4" t="s">
        <v>1925</v>
      </c>
      <c r="D1244" s="4" t="s">
        <v>967</v>
      </c>
      <c r="E1244" s="4" t="s">
        <v>3219</v>
      </c>
      <c r="F1244" s="4" t="s">
        <v>3220</v>
      </c>
      <c r="G1244" s="4"/>
      <c r="H1244" s="4"/>
    </row>
    <row r="1245" spans="1:8">
      <c r="A1245" s="4">
        <v>316</v>
      </c>
      <c r="B1245" s="4" t="s">
        <v>966</v>
      </c>
      <c r="C1245" s="4" t="s">
        <v>1930</v>
      </c>
      <c r="D1245" s="4" t="s">
        <v>968</v>
      </c>
      <c r="E1245" s="4" t="s">
        <v>968</v>
      </c>
      <c r="F1245" s="4" t="s">
        <v>1494</v>
      </c>
      <c r="G1245" s="4"/>
      <c r="H1245" s="4"/>
    </row>
    <row r="1246" spans="1:8">
      <c r="A1246" s="4">
        <v>316</v>
      </c>
      <c r="B1246" s="4" t="s">
        <v>966</v>
      </c>
      <c r="C1246" s="4" t="s">
        <v>1936</v>
      </c>
      <c r="D1246" s="4" t="s">
        <v>78</v>
      </c>
      <c r="E1246" s="4" t="s">
        <v>1015</v>
      </c>
      <c r="F1246" s="4" t="s">
        <v>1299</v>
      </c>
      <c r="G1246" s="4"/>
      <c r="H1246" s="4"/>
    </row>
    <row r="1247" spans="1:8" ht="27.6">
      <c r="A1247" s="4">
        <v>317</v>
      </c>
      <c r="B1247" s="4" t="s">
        <v>969</v>
      </c>
      <c r="C1247" s="4" t="s">
        <v>1925</v>
      </c>
      <c r="D1247" s="4" t="s">
        <v>970</v>
      </c>
      <c r="E1247" s="4" t="s">
        <v>3221</v>
      </c>
      <c r="F1247" s="4" t="s">
        <v>1809</v>
      </c>
      <c r="G1247" s="4" t="s">
        <v>424</v>
      </c>
      <c r="H1247" s="4" t="s">
        <v>1927</v>
      </c>
    </row>
    <row r="1248" spans="1:8">
      <c r="A1248" s="4">
        <v>317</v>
      </c>
      <c r="B1248" s="4" t="s">
        <v>969</v>
      </c>
      <c r="C1248" s="4" t="s">
        <v>1925</v>
      </c>
      <c r="D1248" s="4" t="s">
        <v>970</v>
      </c>
      <c r="E1248" s="4" t="s">
        <v>3222</v>
      </c>
      <c r="F1248" s="4" t="s">
        <v>3223</v>
      </c>
      <c r="G1248" s="4"/>
      <c r="H1248" s="4"/>
    </row>
    <row r="1249" spans="1:8">
      <c r="A1249" s="4">
        <v>317</v>
      </c>
      <c r="B1249" s="4" t="s">
        <v>969</v>
      </c>
      <c r="C1249" s="4" t="s">
        <v>1930</v>
      </c>
      <c r="D1249" s="4" t="s">
        <v>423</v>
      </c>
      <c r="E1249" s="4" t="s">
        <v>968</v>
      </c>
      <c r="F1249" s="4" t="s">
        <v>1494</v>
      </c>
      <c r="G1249" s="4"/>
      <c r="H1249" s="4"/>
    </row>
    <row r="1250" spans="1:8" ht="27.6">
      <c r="A1250" s="4">
        <v>318</v>
      </c>
      <c r="B1250" s="4" t="s">
        <v>971</v>
      </c>
      <c r="C1250" s="4" t="s">
        <v>1925</v>
      </c>
      <c r="D1250" s="4" t="s">
        <v>972</v>
      </c>
      <c r="E1250" s="4" t="s">
        <v>3224</v>
      </c>
      <c r="F1250" s="4" t="s">
        <v>1810</v>
      </c>
      <c r="G1250" s="4" t="s">
        <v>424</v>
      </c>
      <c r="H1250" s="4" t="s">
        <v>1927</v>
      </c>
    </row>
    <row r="1251" spans="1:8">
      <c r="A1251" s="4">
        <v>318</v>
      </c>
      <c r="B1251" s="4" t="s">
        <v>971</v>
      </c>
      <c r="C1251" s="4" t="s">
        <v>1925</v>
      </c>
      <c r="D1251" s="4" t="s">
        <v>972</v>
      </c>
      <c r="E1251" s="4" t="s">
        <v>3225</v>
      </c>
      <c r="F1251" s="4" t="s">
        <v>3226</v>
      </c>
      <c r="G1251" s="4"/>
      <c r="H1251" s="4"/>
    </row>
    <row r="1252" spans="1:8">
      <c r="A1252" s="4">
        <v>318</v>
      </c>
      <c r="B1252" s="4" t="s">
        <v>971</v>
      </c>
      <c r="C1252" s="4" t="s">
        <v>1925</v>
      </c>
      <c r="D1252" s="4" t="s">
        <v>972</v>
      </c>
      <c r="E1252" s="4" t="s">
        <v>3227</v>
      </c>
      <c r="F1252" s="4" t="s">
        <v>3228</v>
      </c>
      <c r="G1252" s="4"/>
      <c r="H1252" s="4"/>
    </row>
    <row r="1253" spans="1:8">
      <c r="A1253" s="4">
        <v>318</v>
      </c>
      <c r="B1253" s="4" t="s">
        <v>971</v>
      </c>
      <c r="C1253" s="4" t="s">
        <v>1930</v>
      </c>
      <c r="D1253" s="4" t="s">
        <v>423</v>
      </c>
      <c r="E1253" s="4" t="s">
        <v>968</v>
      </c>
      <c r="F1253" s="4" t="s">
        <v>1494</v>
      </c>
      <c r="G1253" s="4"/>
      <c r="H1253" s="4"/>
    </row>
    <row r="1254" spans="1:8" ht="27.6">
      <c r="A1254" s="4">
        <v>319</v>
      </c>
      <c r="B1254" s="4" t="s">
        <v>973</v>
      </c>
      <c r="C1254" s="4" t="s">
        <v>1925</v>
      </c>
      <c r="D1254" s="4" t="s">
        <v>974</v>
      </c>
      <c r="E1254" s="4" t="s">
        <v>3229</v>
      </c>
      <c r="F1254" s="4" t="s">
        <v>1811</v>
      </c>
      <c r="G1254" s="4" t="s">
        <v>424</v>
      </c>
      <c r="H1254" s="4" t="s">
        <v>1927</v>
      </c>
    </row>
    <row r="1255" spans="1:8">
      <c r="A1255" s="4">
        <v>319</v>
      </c>
      <c r="B1255" s="4" t="s">
        <v>973</v>
      </c>
      <c r="C1255" s="4" t="s">
        <v>1925</v>
      </c>
      <c r="D1255" s="4" t="s">
        <v>974</v>
      </c>
      <c r="E1255" s="4" t="s">
        <v>3230</v>
      </c>
      <c r="F1255" s="4" t="s">
        <v>3231</v>
      </c>
      <c r="G1255" s="4"/>
      <c r="H1255" s="4"/>
    </row>
    <row r="1256" spans="1:8">
      <c r="A1256" s="4">
        <v>319</v>
      </c>
      <c r="B1256" s="4" t="s">
        <v>973</v>
      </c>
      <c r="C1256" s="4" t="s">
        <v>1930</v>
      </c>
      <c r="D1256" s="4" t="s">
        <v>423</v>
      </c>
      <c r="E1256" s="4" t="s">
        <v>968</v>
      </c>
      <c r="F1256" s="4" t="s">
        <v>1494</v>
      </c>
      <c r="G1256" s="4"/>
      <c r="H1256" s="4"/>
    </row>
    <row r="1257" spans="1:8" ht="27.6">
      <c r="A1257" s="4">
        <v>320</v>
      </c>
      <c r="B1257" s="4" t="s">
        <v>975</v>
      </c>
      <c r="C1257" s="4" t="s">
        <v>1925</v>
      </c>
      <c r="D1257" s="4" t="s">
        <v>976</v>
      </c>
      <c r="E1257" s="4" t="s">
        <v>3232</v>
      </c>
      <c r="F1257" s="4" t="s">
        <v>1812</v>
      </c>
      <c r="G1257" s="4" t="s">
        <v>424</v>
      </c>
      <c r="H1257" s="4" t="s">
        <v>1927</v>
      </c>
    </row>
    <row r="1258" spans="1:8">
      <c r="A1258" s="4">
        <v>320</v>
      </c>
      <c r="B1258" s="4" t="s">
        <v>975</v>
      </c>
      <c r="C1258" s="4" t="s">
        <v>1925</v>
      </c>
      <c r="D1258" s="4" t="s">
        <v>976</v>
      </c>
      <c r="E1258" s="4" t="s">
        <v>3233</v>
      </c>
      <c r="F1258" s="4" t="s">
        <v>3234</v>
      </c>
      <c r="G1258" s="4"/>
      <c r="H1258" s="4"/>
    </row>
    <row r="1259" spans="1:8">
      <c r="A1259" s="4">
        <v>320</v>
      </c>
      <c r="B1259" s="4" t="s">
        <v>975</v>
      </c>
      <c r="C1259" s="4" t="s">
        <v>1925</v>
      </c>
      <c r="D1259" s="4" t="s">
        <v>976</v>
      </c>
      <c r="E1259" s="4" t="s">
        <v>3235</v>
      </c>
      <c r="F1259" s="4" t="s">
        <v>3236</v>
      </c>
      <c r="G1259" s="4"/>
      <c r="H1259" s="4"/>
    </row>
    <row r="1260" spans="1:8">
      <c r="A1260" s="4">
        <v>320</v>
      </c>
      <c r="B1260" s="4" t="s">
        <v>975</v>
      </c>
      <c r="C1260" s="4" t="s">
        <v>1930</v>
      </c>
      <c r="D1260" s="4" t="s">
        <v>977</v>
      </c>
      <c r="E1260" s="4" t="s">
        <v>977</v>
      </c>
      <c r="F1260" s="4" t="s">
        <v>1813</v>
      </c>
      <c r="G1260" s="4"/>
      <c r="H1260" s="4"/>
    </row>
    <row r="1261" spans="1:8">
      <c r="A1261" s="4">
        <v>320</v>
      </c>
      <c r="B1261" s="4" t="s">
        <v>975</v>
      </c>
      <c r="C1261" s="4" t="s">
        <v>1936</v>
      </c>
      <c r="D1261" s="4" t="s">
        <v>423</v>
      </c>
      <c r="E1261" s="4" t="s">
        <v>968</v>
      </c>
      <c r="F1261" s="4" t="s">
        <v>1494</v>
      </c>
      <c r="G1261" s="4"/>
      <c r="H1261" s="4"/>
    </row>
    <row r="1262" spans="1:8" ht="27.6">
      <c r="A1262" s="4">
        <v>321</v>
      </c>
      <c r="B1262" s="4" t="s">
        <v>978</v>
      </c>
      <c r="C1262" s="4" t="s">
        <v>1925</v>
      </c>
      <c r="D1262" s="4" t="s">
        <v>979</v>
      </c>
      <c r="E1262" s="4" t="s">
        <v>3237</v>
      </c>
      <c r="F1262" s="4" t="s">
        <v>1814</v>
      </c>
      <c r="G1262" s="4" t="s">
        <v>424</v>
      </c>
      <c r="H1262" s="4" t="s">
        <v>1927</v>
      </c>
    </row>
    <row r="1263" spans="1:8">
      <c r="A1263" s="4">
        <v>321</v>
      </c>
      <c r="B1263" s="4" t="s">
        <v>978</v>
      </c>
      <c r="C1263" s="4" t="s">
        <v>1925</v>
      </c>
      <c r="D1263" s="4" t="s">
        <v>979</v>
      </c>
      <c r="E1263" s="4" t="s">
        <v>3238</v>
      </c>
      <c r="F1263" s="4" t="s">
        <v>3239</v>
      </c>
      <c r="G1263" s="4"/>
      <c r="H1263" s="4"/>
    </row>
    <row r="1264" spans="1:8">
      <c r="A1264" s="4">
        <v>321</v>
      </c>
      <c r="B1264" s="4" t="s">
        <v>978</v>
      </c>
      <c r="C1264" s="4" t="s">
        <v>1925</v>
      </c>
      <c r="D1264" s="4" t="s">
        <v>979</v>
      </c>
      <c r="E1264" s="4" t="s">
        <v>3240</v>
      </c>
      <c r="F1264" s="4" t="s">
        <v>3241</v>
      </c>
      <c r="G1264" s="4"/>
      <c r="H1264" s="4"/>
    </row>
    <row r="1265" spans="1:8">
      <c r="A1265" s="4">
        <v>321</v>
      </c>
      <c r="B1265" s="4" t="s">
        <v>978</v>
      </c>
      <c r="C1265" s="4" t="s">
        <v>1930</v>
      </c>
      <c r="D1265" s="4" t="s">
        <v>980</v>
      </c>
      <c r="E1265" s="4" t="s">
        <v>980</v>
      </c>
      <c r="F1265" s="4" t="s">
        <v>1815</v>
      </c>
      <c r="G1265" s="4"/>
      <c r="H1265" s="4"/>
    </row>
    <row r="1266" spans="1:8">
      <c r="A1266" s="4">
        <v>321</v>
      </c>
      <c r="B1266" s="4" t="s">
        <v>978</v>
      </c>
      <c r="C1266" s="4" t="s">
        <v>1936</v>
      </c>
      <c r="D1266" s="4" t="s">
        <v>423</v>
      </c>
      <c r="E1266" s="4" t="s">
        <v>968</v>
      </c>
      <c r="F1266" s="4" t="s">
        <v>1494</v>
      </c>
      <c r="G1266" s="4"/>
      <c r="H1266" s="4"/>
    </row>
    <row r="1267" spans="1:8" ht="27.6">
      <c r="A1267" s="4">
        <v>322</v>
      </c>
      <c r="B1267" s="4" t="s">
        <v>981</v>
      </c>
      <c r="C1267" s="4" t="s">
        <v>1925</v>
      </c>
      <c r="D1267" s="4" t="s">
        <v>982</v>
      </c>
      <c r="E1267" s="4" t="s">
        <v>3242</v>
      </c>
      <c r="F1267" s="4" t="s">
        <v>1816</v>
      </c>
      <c r="G1267" s="4" t="s">
        <v>424</v>
      </c>
      <c r="H1267" s="4" t="s">
        <v>1927</v>
      </c>
    </row>
    <row r="1268" spans="1:8">
      <c r="A1268" s="4">
        <v>322</v>
      </c>
      <c r="B1268" s="4" t="s">
        <v>981</v>
      </c>
      <c r="C1268" s="4" t="s">
        <v>1925</v>
      </c>
      <c r="D1268" s="4" t="s">
        <v>982</v>
      </c>
      <c r="E1268" s="4" t="s">
        <v>3243</v>
      </c>
      <c r="F1268" s="4" t="s">
        <v>3244</v>
      </c>
      <c r="G1268" s="4"/>
      <c r="H1268" s="4"/>
    </row>
    <row r="1269" spans="1:8">
      <c r="A1269" s="4">
        <v>322</v>
      </c>
      <c r="B1269" s="4" t="s">
        <v>981</v>
      </c>
      <c r="C1269" s="4" t="s">
        <v>1930</v>
      </c>
      <c r="D1269" s="4" t="s">
        <v>423</v>
      </c>
      <c r="E1269" s="4" t="s">
        <v>968</v>
      </c>
      <c r="F1269" s="4" t="s">
        <v>1494</v>
      </c>
      <c r="G1269" s="4"/>
      <c r="H1269" s="4"/>
    </row>
    <row r="1270" spans="1:8" ht="27.6">
      <c r="A1270" s="4">
        <v>323</v>
      </c>
      <c r="B1270" s="4" t="s">
        <v>983</v>
      </c>
      <c r="C1270" s="4" t="s">
        <v>1925</v>
      </c>
      <c r="D1270" s="4" t="s">
        <v>984</v>
      </c>
      <c r="E1270" s="4" t="s">
        <v>3245</v>
      </c>
      <c r="F1270" s="4" t="s">
        <v>1817</v>
      </c>
      <c r="G1270" s="4" t="s">
        <v>424</v>
      </c>
      <c r="H1270" s="4" t="s">
        <v>1927</v>
      </c>
    </row>
    <row r="1271" spans="1:8">
      <c r="A1271" s="4">
        <v>323</v>
      </c>
      <c r="B1271" s="4" t="s">
        <v>983</v>
      </c>
      <c r="C1271" s="4" t="s">
        <v>1925</v>
      </c>
      <c r="D1271" s="4" t="s">
        <v>984</v>
      </c>
      <c r="E1271" s="4" t="s">
        <v>3246</v>
      </c>
      <c r="F1271" s="4" t="s">
        <v>3247</v>
      </c>
      <c r="G1271" s="4"/>
      <c r="H1271" s="4"/>
    </row>
    <row r="1272" spans="1:8">
      <c r="A1272" s="4">
        <v>323</v>
      </c>
      <c r="B1272" s="4" t="s">
        <v>983</v>
      </c>
      <c r="C1272" s="4" t="s">
        <v>1925</v>
      </c>
      <c r="D1272" s="4" t="s">
        <v>984</v>
      </c>
      <c r="E1272" s="4" t="s">
        <v>3248</v>
      </c>
      <c r="F1272" s="4" t="s">
        <v>3249</v>
      </c>
      <c r="G1272" s="4"/>
      <c r="H1272" s="4"/>
    </row>
    <row r="1273" spans="1:8">
      <c r="A1273" s="4">
        <v>323</v>
      </c>
      <c r="B1273" s="4" t="s">
        <v>983</v>
      </c>
      <c r="C1273" s="4" t="s">
        <v>1930</v>
      </c>
      <c r="D1273" s="4" t="s">
        <v>423</v>
      </c>
      <c r="E1273" s="4" t="s">
        <v>968</v>
      </c>
      <c r="F1273" s="4" t="s">
        <v>1494</v>
      </c>
      <c r="G1273" s="4"/>
      <c r="H1273" s="4"/>
    </row>
    <row r="1274" spans="1:8" ht="27.6">
      <c r="A1274" s="4">
        <v>324</v>
      </c>
      <c r="B1274" s="4" t="s">
        <v>985</v>
      </c>
      <c r="C1274" s="4" t="s">
        <v>1925</v>
      </c>
      <c r="D1274" s="4" t="s">
        <v>986</v>
      </c>
      <c r="E1274" s="4" t="s">
        <v>3250</v>
      </c>
      <c r="F1274" s="4" t="s">
        <v>1818</v>
      </c>
      <c r="G1274" s="4" t="s">
        <v>424</v>
      </c>
      <c r="H1274" s="4" t="s">
        <v>1927</v>
      </c>
    </row>
    <row r="1275" spans="1:8">
      <c r="A1275" s="4">
        <v>324</v>
      </c>
      <c r="B1275" s="4" t="s">
        <v>985</v>
      </c>
      <c r="C1275" s="4" t="s">
        <v>1925</v>
      </c>
      <c r="D1275" s="4" t="s">
        <v>986</v>
      </c>
      <c r="E1275" s="4" t="s">
        <v>3251</v>
      </c>
      <c r="F1275" s="4" t="s">
        <v>3252</v>
      </c>
      <c r="G1275" s="4"/>
      <c r="H1275" s="4"/>
    </row>
    <row r="1276" spans="1:8">
      <c r="A1276" s="4">
        <v>324</v>
      </c>
      <c r="B1276" s="4" t="s">
        <v>985</v>
      </c>
      <c r="C1276" s="4" t="s">
        <v>1930</v>
      </c>
      <c r="D1276" s="4" t="s">
        <v>987</v>
      </c>
      <c r="E1276" s="4" t="s">
        <v>987</v>
      </c>
      <c r="F1276" s="4" t="s">
        <v>1819</v>
      </c>
      <c r="G1276" s="4"/>
      <c r="H1276" s="4"/>
    </row>
    <row r="1277" spans="1:8">
      <c r="A1277" s="4">
        <v>324</v>
      </c>
      <c r="B1277" s="4" t="s">
        <v>985</v>
      </c>
      <c r="C1277" s="4" t="s">
        <v>1936</v>
      </c>
      <c r="D1277" s="4" t="s">
        <v>423</v>
      </c>
      <c r="E1277" s="4" t="s">
        <v>968</v>
      </c>
      <c r="F1277" s="4" t="s">
        <v>1494</v>
      </c>
      <c r="G1277" s="4"/>
      <c r="H1277" s="4"/>
    </row>
    <row r="1278" spans="1:8" ht="27.6">
      <c r="A1278" s="4">
        <v>325</v>
      </c>
      <c r="B1278" s="4" t="s">
        <v>988</v>
      </c>
      <c r="C1278" s="4" t="s">
        <v>1925</v>
      </c>
      <c r="D1278" s="4" t="s">
        <v>989</v>
      </c>
      <c r="E1278" s="4" t="s">
        <v>3253</v>
      </c>
      <c r="F1278" s="4" t="s">
        <v>1820</v>
      </c>
      <c r="G1278" s="4" t="s">
        <v>39</v>
      </c>
      <c r="H1278" s="4" t="s">
        <v>1927</v>
      </c>
    </row>
    <row r="1279" spans="1:8">
      <c r="A1279" s="4">
        <v>325</v>
      </c>
      <c r="B1279" s="4" t="s">
        <v>988</v>
      </c>
      <c r="C1279" s="4" t="s">
        <v>1925</v>
      </c>
      <c r="D1279" s="4" t="s">
        <v>989</v>
      </c>
      <c r="E1279" s="4" t="s">
        <v>3254</v>
      </c>
      <c r="F1279" s="4" t="s">
        <v>3255</v>
      </c>
      <c r="G1279" s="4"/>
      <c r="H1279" s="4"/>
    </row>
    <row r="1280" spans="1:8">
      <c r="A1280" s="4">
        <v>325</v>
      </c>
      <c r="B1280" s="4" t="s">
        <v>988</v>
      </c>
      <c r="C1280" s="4" t="s">
        <v>1925</v>
      </c>
      <c r="D1280" s="4" t="s">
        <v>989</v>
      </c>
      <c r="E1280" s="4" t="s">
        <v>3256</v>
      </c>
      <c r="F1280" s="4" t="s">
        <v>3257</v>
      </c>
      <c r="G1280" s="4"/>
      <c r="H1280" s="4"/>
    </row>
    <row r="1281" spans="1:8">
      <c r="A1281" s="4">
        <v>325</v>
      </c>
      <c r="B1281" s="4" t="s">
        <v>988</v>
      </c>
      <c r="C1281" s="4" t="s">
        <v>1930</v>
      </c>
      <c r="D1281" s="4" t="s">
        <v>97</v>
      </c>
      <c r="E1281" s="4" t="s">
        <v>959</v>
      </c>
      <c r="F1281" s="4" t="s">
        <v>1309</v>
      </c>
      <c r="G1281" s="4"/>
      <c r="H1281" s="4"/>
    </row>
    <row r="1282" spans="1:8" ht="27.6">
      <c r="A1282" s="4">
        <v>326</v>
      </c>
      <c r="B1282" s="4" t="s">
        <v>990</v>
      </c>
      <c r="C1282" s="4" t="s">
        <v>1925</v>
      </c>
      <c r="D1282" s="4" t="s">
        <v>991</v>
      </c>
      <c r="E1282" s="4" t="s">
        <v>3258</v>
      </c>
      <c r="F1282" s="4" t="s">
        <v>1821</v>
      </c>
      <c r="G1282" s="4" t="s">
        <v>39</v>
      </c>
      <c r="H1282" s="4" t="s">
        <v>1927</v>
      </c>
    </row>
    <row r="1283" spans="1:8">
      <c r="A1283" s="4">
        <v>326</v>
      </c>
      <c r="B1283" s="4" t="s">
        <v>990</v>
      </c>
      <c r="C1283" s="4" t="s">
        <v>1925</v>
      </c>
      <c r="D1283" s="4" t="s">
        <v>991</v>
      </c>
      <c r="E1283" s="4" t="s">
        <v>3259</v>
      </c>
      <c r="F1283" s="4" t="s">
        <v>3260</v>
      </c>
      <c r="G1283" s="4"/>
      <c r="H1283" s="4"/>
    </row>
    <row r="1284" spans="1:8">
      <c r="A1284" s="4">
        <v>326</v>
      </c>
      <c r="B1284" s="4" t="s">
        <v>990</v>
      </c>
      <c r="C1284" s="4" t="s">
        <v>1930</v>
      </c>
      <c r="D1284" s="4" t="s">
        <v>97</v>
      </c>
      <c r="E1284" s="4" t="s">
        <v>959</v>
      </c>
      <c r="F1284" s="4" t="s">
        <v>1309</v>
      </c>
      <c r="G1284" s="4"/>
      <c r="H1284" s="4"/>
    </row>
    <row r="1285" spans="1:8" ht="27.6">
      <c r="A1285" s="4">
        <v>327</v>
      </c>
      <c r="B1285" s="4" t="s">
        <v>992</v>
      </c>
      <c r="C1285" s="4" t="s">
        <v>1925</v>
      </c>
      <c r="D1285" s="4" t="s">
        <v>993</v>
      </c>
      <c r="E1285" s="4" t="s">
        <v>3261</v>
      </c>
      <c r="F1285" s="4" t="s">
        <v>1822</v>
      </c>
      <c r="G1285" s="4" t="s">
        <v>39</v>
      </c>
      <c r="H1285" s="4" t="s">
        <v>1927</v>
      </c>
    </row>
    <row r="1286" spans="1:8">
      <c r="A1286" s="4">
        <v>327</v>
      </c>
      <c r="B1286" s="4" t="s">
        <v>992</v>
      </c>
      <c r="C1286" s="4" t="s">
        <v>1925</v>
      </c>
      <c r="D1286" s="4" t="s">
        <v>993</v>
      </c>
      <c r="E1286" s="4" t="s">
        <v>3262</v>
      </c>
      <c r="F1286" s="4" t="s">
        <v>3263</v>
      </c>
      <c r="G1286" s="4"/>
      <c r="H1286" s="4"/>
    </row>
    <row r="1287" spans="1:8">
      <c r="A1287" s="4">
        <v>327</v>
      </c>
      <c r="B1287" s="4" t="s">
        <v>992</v>
      </c>
      <c r="C1287" s="4" t="s">
        <v>1925</v>
      </c>
      <c r="D1287" s="4" t="s">
        <v>993</v>
      </c>
      <c r="E1287" s="4" t="s">
        <v>3264</v>
      </c>
      <c r="F1287" s="4" t="s">
        <v>3265</v>
      </c>
      <c r="G1287" s="4"/>
      <c r="H1287" s="4"/>
    </row>
    <row r="1288" spans="1:8">
      <c r="A1288" s="4">
        <v>327</v>
      </c>
      <c r="B1288" s="4" t="s">
        <v>992</v>
      </c>
      <c r="C1288" s="4" t="s">
        <v>1930</v>
      </c>
      <c r="D1288" s="4" t="s">
        <v>994</v>
      </c>
      <c r="E1288" s="4" t="s">
        <v>994</v>
      </c>
      <c r="F1288" s="4" t="s">
        <v>1823</v>
      </c>
      <c r="G1288" s="4"/>
      <c r="H1288" s="4"/>
    </row>
    <row r="1289" spans="1:8" ht="27.6">
      <c r="A1289" s="4">
        <v>328</v>
      </c>
      <c r="B1289" s="4" t="s">
        <v>995</v>
      </c>
      <c r="C1289" s="4" t="s">
        <v>1925</v>
      </c>
      <c r="D1289" s="4" t="s">
        <v>996</v>
      </c>
      <c r="E1289" s="4" t="s">
        <v>3266</v>
      </c>
      <c r="F1289" s="4" t="s">
        <v>1824</v>
      </c>
      <c r="G1289" s="4" t="s">
        <v>39</v>
      </c>
      <c r="H1289" s="4" t="s">
        <v>1927</v>
      </c>
    </row>
    <row r="1290" spans="1:8">
      <c r="A1290" s="4">
        <v>328</v>
      </c>
      <c r="B1290" s="4" t="s">
        <v>995</v>
      </c>
      <c r="C1290" s="4" t="s">
        <v>1925</v>
      </c>
      <c r="D1290" s="4" t="s">
        <v>996</v>
      </c>
      <c r="E1290" s="4" t="s">
        <v>3267</v>
      </c>
      <c r="F1290" s="4" t="s">
        <v>3268</v>
      </c>
      <c r="G1290" s="4"/>
      <c r="H1290" s="4"/>
    </row>
    <row r="1291" spans="1:8">
      <c r="A1291" s="4">
        <v>328</v>
      </c>
      <c r="B1291" s="4" t="s">
        <v>995</v>
      </c>
      <c r="C1291" s="4" t="s">
        <v>1930</v>
      </c>
      <c r="D1291" s="4" t="s">
        <v>997</v>
      </c>
      <c r="E1291" s="4" t="s">
        <v>997</v>
      </c>
      <c r="F1291" s="4" t="s">
        <v>1825</v>
      </c>
      <c r="G1291" s="4"/>
      <c r="H1291" s="4"/>
    </row>
    <row r="1292" spans="1:8" ht="27.6">
      <c r="A1292" s="4">
        <v>329</v>
      </c>
      <c r="B1292" s="4" t="s">
        <v>998</v>
      </c>
      <c r="C1292" s="4" t="s">
        <v>1925</v>
      </c>
      <c r="D1292" s="4" t="s">
        <v>999</v>
      </c>
      <c r="E1292" s="4" t="s">
        <v>3269</v>
      </c>
      <c r="F1292" s="4" t="s">
        <v>1826</v>
      </c>
      <c r="G1292" s="4" t="s">
        <v>1002</v>
      </c>
      <c r="H1292" s="4" t="s">
        <v>1927</v>
      </c>
    </row>
    <row r="1293" spans="1:8">
      <c r="A1293" s="4">
        <v>329</v>
      </c>
      <c r="B1293" s="4" t="s">
        <v>998</v>
      </c>
      <c r="C1293" s="4" t="s">
        <v>1925</v>
      </c>
      <c r="D1293" s="4" t="s">
        <v>999</v>
      </c>
      <c r="E1293" s="4" t="s">
        <v>3270</v>
      </c>
      <c r="F1293" s="4" t="s">
        <v>3271</v>
      </c>
      <c r="G1293" s="4"/>
      <c r="H1293" s="4"/>
    </row>
    <row r="1294" spans="1:8">
      <c r="A1294" s="4">
        <v>329</v>
      </c>
      <c r="B1294" s="4" t="s">
        <v>998</v>
      </c>
      <c r="C1294" s="4" t="s">
        <v>1925</v>
      </c>
      <c r="D1294" s="4" t="s">
        <v>999</v>
      </c>
      <c r="E1294" s="4" t="s">
        <v>3272</v>
      </c>
      <c r="F1294" s="4" t="s">
        <v>3273</v>
      </c>
      <c r="G1294" s="4"/>
      <c r="H1294" s="4"/>
    </row>
    <row r="1295" spans="1:8">
      <c r="A1295" s="4">
        <v>329</v>
      </c>
      <c r="B1295" s="4" t="s">
        <v>998</v>
      </c>
      <c r="C1295" s="4" t="s">
        <v>1930</v>
      </c>
      <c r="D1295" s="4" t="s">
        <v>1000</v>
      </c>
      <c r="E1295" s="4" t="s">
        <v>1000</v>
      </c>
      <c r="F1295" s="4" t="s">
        <v>1827</v>
      </c>
      <c r="G1295" s="4"/>
      <c r="H1295" s="4"/>
    </row>
    <row r="1296" spans="1:8">
      <c r="A1296" s="4">
        <v>329</v>
      </c>
      <c r="B1296" s="4" t="s">
        <v>998</v>
      </c>
      <c r="C1296" s="4" t="s">
        <v>1936</v>
      </c>
      <c r="D1296" s="4" t="s">
        <v>1001</v>
      </c>
      <c r="E1296" s="4" t="s">
        <v>1101</v>
      </c>
      <c r="F1296" s="4" t="s">
        <v>1828</v>
      </c>
      <c r="G1296" s="4"/>
      <c r="H1296" s="4"/>
    </row>
    <row r="1297" spans="1:8" ht="27.6">
      <c r="A1297" s="4">
        <v>330</v>
      </c>
      <c r="B1297" s="4" t="s">
        <v>1004</v>
      </c>
      <c r="C1297" s="4" t="s">
        <v>1925</v>
      </c>
      <c r="D1297" s="4" t="s">
        <v>1005</v>
      </c>
      <c r="E1297" s="4" t="s">
        <v>3274</v>
      </c>
      <c r="F1297" s="4" t="s">
        <v>1829</v>
      </c>
      <c r="G1297" s="4" t="s">
        <v>937</v>
      </c>
      <c r="H1297" s="4" t="s">
        <v>1927</v>
      </c>
    </row>
    <row r="1298" spans="1:8">
      <c r="A1298" s="4">
        <v>330</v>
      </c>
      <c r="B1298" s="4" t="s">
        <v>1004</v>
      </c>
      <c r="C1298" s="4" t="s">
        <v>1925</v>
      </c>
      <c r="D1298" s="4" t="s">
        <v>1005</v>
      </c>
      <c r="E1298" s="4" t="s">
        <v>3275</v>
      </c>
      <c r="F1298" s="4" t="s">
        <v>3276</v>
      </c>
      <c r="G1298" s="4"/>
      <c r="H1298" s="4"/>
    </row>
    <row r="1299" spans="1:8">
      <c r="A1299" s="4">
        <v>330</v>
      </c>
      <c r="B1299" s="4" t="s">
        <v>1004</v>
      </c>
      <c r="C1299" s="4" t="s">
        <v>1930</v>
      </c>
      <c r="D1299" s="4" t="s">
        <v>1006</v>
      </c>
      <c r="E1299" s="4" t="s">
        <v>1006</v>
      </c>
      <c r="F1299" s="4" t="s">
        <v>1830</v>
      </c>
      <c r="G1299" s="4"/>
      <c r="H1299" s="4"/>
    </row>
    <row r="1300" spans="1:8">
      <c r="A1300" s="4">
        <v>330</v>
      </c>
      <c r="B1300" s="4" t="s">
        <v>1004</v>
      </c>
      <c r="C1300" s="4" t="s">
        <v>1936</v>
      </c>
      <c r="D1300" s="4" t="s">
        <v>936</v>
      </c>
      <c r="E1300" s="4" t="s">
        <v>405</v>
      </c>
      <c r="F1300" s="4" t="s">
        <v>1484</v>
      </c>
      <c r="G1300" s="4"/>
      <c r="H1300" s="4"/>
    </row>
    <row r="1301" spans="1:8" ht="27.6">
      <c r="A1301" s="4">
        <v>331</v>
      </c>
      <c r="B1301" s="4" t="s">
        <v>1007</v>
      </c>
      <c r="C1301" s="4" t="s">
        <v>1925</v>
      </c>
      <c r="D1301" s="4" t="s">
        <v>1008</v>
      </c>
      <c r="E1301" s="4" t="s">
        <v>3277</v>
      </c>
      <c r="F1301" s="4" t="s">
        <v>1831</v>
      </c>
      <c r="G1301" s="4" t="s">
        <v>752</v>
      </c>
      <c r="H1301" s="4" t="s">
        <v>1927</v>
      </c>
    </row>
    <row r="1302" spans="1:8">
      <c r="A1302" s="4">
        <v>331</v>
      </c>
      <c r="B1302" s="4" t="s">
        <v>1007</v>
      </c>
      <c r="C1302" s="4" t="s">
        <v>1925</v>
      </c>
      <c r="D1302" s="4" t="s">
        <v>1008</v>
      </c>
      <c r="E1302" s="4" t="s">
        <v>3278</v>
      </c>
      <c r="F1302" s="4" t="s">
        <v>3279</v>
      </c>
      <c r="G1302" s="4"/>
      <c r="H1302" s="4"/>
    </row>
    <row r="1303" spans="1:8">
      <c r="A1303" s="4">
        <v>331</v>
      </c>
      <c r="B1303" s="4" t="s">
        <v>1007</v>
      </c>
      <c r="C1303" s="4" t="s">
        <v>1925</v>
      </c>
      <c r="D1303" s="4" t="s">
        <v>1008</v>
      </c>
      <c r="E1303" s="4" t="s">
        <v>3280</v>
      </c>
      <c r="F1303" s="4" t="s">
        <v>3281</v>
      </c>
      <c r="G1303" s="4"/>
      <c r="H1303" s="4"/>
    </row>
    <row r="1304" spans="1:8">
      <c r="A1304" s="4">
        <v>331</v>
      </c>
      <c r="B1304" s="4" t="s">
        <v>1007</v>
      </c>
      <c r="C1304" s="4" t="s">
        <v>1930</v>
      </c>
      <c r="D1304" s="4" t="s">
        <v>1009</v>
      </c>
      <c r="E1304" s="4" t="s">
        <v>1009</v>
      </c>
      <c r="F1304" s="4" t="s">
        <v>1832</v>
      </c>
      <c r="G1304" s="4"/>
      <c r="H1304" s="4"/>
    </row>
    <row r="1305" spans="1:8" ht="27.6">
      <c r="A1305" s="4">
        <v>332</v>
      </c>
      <c r="B1305" s="4" t="s">
        <v>1010</v>
      </c>
      <c r="C1305" s="4" t="s">
        <v>1925</v>
      </c>
      <c r="D1305" s="4" t="s">
        <v>1011</v>
      </c>
      <c r="E1305" s="4" t="s">
        <v>3282</v>
      </c>
      <c r="F1305" s="4" t="s">
        <v>1833</v>
      </c>
      <c r="G1305" s="4" t="s">
        <v>414</v>
      </c>
      <c r="H1305" s="4" t="s">
        <v>1927</v>
      </c>
    </row>
    <row r="1306" spans="1:8">
      <c r="A1306" s="4">
        <v>332</v>
      </c>
      <c r="B1306" s="4" t="s">
        <v>1010</v>
      </c>
      <c r="C1306" s="4" t="s">
        <v>1925</v>
      </c>
      <c r="D1306" s="4" t="s">
        <v>1011</v>
      </c>
      <c r="E1306" s="4" t="s">
        <v>3283</v>
      </c>
      <c r="F1306" s="4" t="s">
        <v>3284</v>
      </c>
      <c r="G1306" s="4"/>
      <c r="H1306" s="4"/>
    </row>
    <row r="1307" spans="1:8">
      <c r="A1307" s="4">
        <v>332</v>
      </c>
      <c r="B1307" s="4" t="s">
        <v>1010</v>
      </c>
      <c r="C1307" s="4" t="s">
        <v>1925</v>
      </c>
      <c r="D1307" s="4" t="s">
        <v>1011</v>
      </c>
      <c r="E1307" s="4" t="s">
        <v>3285</v>
      </c>
      <c r="F1307" s="4" t="s">
        <v>3286</v>
      </c>
      <c r="G1307" s="4"/>
      <c r="H1307" s="4"/>
    </row>
    <row r="1308" spans="1:8">
      <c r="A1308" s="4">
        <v>332</v>
      </c>
      <c r="B1308" s="4" t="s">
        <v>1010</v>
      </c>
      <c r="C1308" s="4" t="s">
        <v>1930</v>
      </c>
      <c r="D1308" s="4" t="s">
        <v>1012</v>
      </c>
      <c r="E1308" s="4" t="s">
        <v>1012</v>
      </c>
      <c r="F1308" s="4" t="s">
        <v>1834</v>
      </c>
      <c r="G1308" s="4"/>
      <c r="H1308" s="4"/>
    </row>
    <row r="1309" spans="1:8">
      <c r="A1309" s="4">
        <v>332</v>
      </c>
      <c r="B1309" s="4" t="s">
        <v>1010</v>
      </c>
      <c r="C1309" s="4" t="s">
        <v>1936</v>
      </c>
      <c r="D1309" s="4" t="s">
        <v>487</v>
      </c>
      <c r="E1309" s="4" t="s">
        <v>493</v>
      </c>
      <c r="F1309" s="4" t="s">
        <v>1532</v>
      </c>
      <c r="G1309" s="4"/>
      <c r="H1309" s="4"/>
    </row>
    <row r="1310" spans="1:8" ht="27.6">
      <c r="A1310" s="4">
        <v>333</v>
      </c>
      <c r="B1310" s="4" t="s">
        <v>1013</v>
      </c>
      <c r="C1310" s="4" t="s">
        <v>1925</v>
      </c>
      <c r="D1310" s="4" t="s">
        <v>1014</v>
      </c>
      <c r="E1310" s="4" t="s">
        <v>3287</v>
      </c>
      <c r="F1310" s="4" t="s">
        <v>1835</v>
      </c>
      <c r="G1310" s="4" t="s">
        <v>131</v>
      </c>
      <c r="H1310" s="4" t="s">
        <v>1927</v>
      </c>
    </row>
    <row r="1311" spans="1:8">
      <c r="A1311" s="4">
        <v>333</v>
      </c>
      <c r="B1311" s="4" t="s">
        <v>1013</v>
      </c>
      <c r="C1311" s="4" t="s">
        <v>1925</v>
      </c>
      <c r="D1311" s="4" t="s">
        <v>1014</v>
      </c>
      <c r="E1311" s="4" t="s">
        <v>3288</v>
      </c>
      <c r="F1311" s="4" t="s">
        <v>3289</v>
      </c>
      <c r="G1311" s="4"/>
      <c r="H1311" s="4"/>
    </row>
    <row r="1312" spans="1:8">
      <c r="A1312" s="4">
        <v>333</v>
      </c>
      <c r="B1312" s="4" t="s">
        <v>1013</v>
      </c>
      <c r="C1312" s="4" t="s">
        <v>1930</v>
      </c>
      <c r="D1312" s="4" t="s">
        <v>1015</v>
      </c>
      <c r="E1312" s="4" t="s">
        <v>1015</v>
      </c>
      <c r="F1312" s="4" t="s">
        <v>1299</v>
      </c>
      <c r="G1312" s="4"/>
      <c r="H1312" s="4"/>
    </row>
    <row r="1313" spans="1:8" ht="27.6">
      <c r="A1313" s="4">
        <v>334</v>
      </c>
      <c r="B1313" s="4" t="s">
        <v>1016</v>
      </c>
      <c r="C1313" s="4" t="s">
        <v>1925</v>
      </c>
      <c r="D1313" s="4" t="s">
        <v>1017</v>
      </c>
      <c r="E1313" s="4" t="s">
        <v>3290</v>
      </c>
      <c r="F1313" s="4" t="s">
        <v>1836</v>
      </c>
      <c r="G1313" s="4" t="s">
        <v>131</v>
      </c>
      <c r="H1313" s="4" t="s">
        <v>1927</v>
      </c>
    </row>
    <row r="1314" spans="1:8">
      <c r="A1314" s="4">
        <v>334</v>
      </c>
      <c r="B1314" s="4" t="s">
        <v>1016</v>
      </c>
      <c r="C1314" s="4" t="s">
        <v>1925</v>
      </c>
      <c r="D1314" s="4" t="s">
        <v>1017</v>
      </c>
      <c r="E1314" s="4" t="s">
        <v>3291</v>
      </c>
      <c r="F1314" s="4" t="s">
        <v>3292</v>
      </c>
      <c r="G1314" s="4"/>
      <c r="H1314" s="4"/>
    </row>
    <row r="1315" spans="1:8">
      <c r="A1315" s="4">
        <v>334</v>
      </c>
      <c r="B1315" s="4" t="s">
        <v>1016</v>
      </c>
      <c r="C1315" s="4" t="s">
        <v>1925</v>
      </c>
      <c r="D1315" s="4" t="s">
        <v>1017</v>
      </c>
      <c r="E1315" s="4" t="s">
        <v>3293</v>
      </c>
      <c r="F1315" s="4" t="s">
        <v>3294</v>
      </c>
      <c r="G1315" s="4"/>
      <c r="H1315" s="4"/>
    </row>
    <row r="1316" spans="1:8">
      <c r="A1316" s="4">
        <v>334</v>
      </c>
      <c r="B1316" s="4" t="s">
        <v>1016</v>
      </c>
      <c r="C1316" s="4" t="s">
        <v>1930</v>
      </c>
      <c r="D1316" s="4" t="s">
        <v>1018</v>
      </c>
      <c r="E1316" s="4" t="s">
        <v>1018</v>
      </c>
      <c r="F1316" s="4" t="s">
        <v>1837</v>
      </c>
      <c r="G1316" s="4"/>
      <c r="H1316" s="4"/>
    </row>
    <row r="1317" spans="1:8">
      <c r="A1317" s="4">
        <v>334</v>
      </c>
      <c r="B1317" s="4" t="s">
        <v>1016</v>
      </c>
      <c r="C1317" s="4" t="s">
        <v>1936</v>
      </c>
      <c r="D1317" s="4" t="s">
        <v>130</v>
      </c>
      <c r="E1317" s="4" t="s">
        <v>1092</v>
      </c>
      <c r="F1317" s="4" t="s">
        <v>1326</v>
      </c>
      <c r="G1317" s="4"/>
      <c r="H1317" s="4"/>
    </row>
    <row r="1318" spans="1:8" ht="27.6">
      <c r="A1318" s="4">
        <v>335</v>
      </c>
      <c r="B1318" s="4" t="s">
        <v>1019</v>
      </c>
      <c r="C1318" s="4" t="s">
        <v>1925</v>
      </c>
      <c r="D1318" s="4" t="s">
        <v>1020</v>
      </c>
      <c r="E1318" s="4" t="s">
        <v>3295</v>
      </c>
      <c r="F1318" s="4" t="s">
        <v>1838</v>
      </c>
      <c r="G1318" s="4" t="s">
        <v>841</v>
      </c>
      <c r="H1318" s="4" t="s">
        <v>1927</v>
      </c>
    </row>
    <row r="1319" spans="1:8">
      <c r="A1319" s="4">
        <v>335</v>
      </c>
      <c r="B1319" s="4" t="s">
        <v>1019</v>
      </c>
      <c r="C1319" s="4" t="s">
        <v>1925</v>
      </c>
      <c r="D1319" s="4" t="s">
        <v>1020</v>
      </c>
      <c r="E1319" s="4" t="s">
        <v>3296</v>
      </c>
      <c r="F1319" s="4" t="s">
        <v>3297</v>
      </c>
      <c r="G1319" s="4"/>
      <c r="H1319" s="4"/>
    </row>
    <row r="1320" spans="1:8">
      <c r="A1320" s="4">
        <v>335</v>
      </c>
      <c r="B1320" s="4" t="s">
        <v>1019</v>
      </c>
      <c r="C1320" s="4" t="s">
        <v>1930</v>
      </c>
      <c r="D1320" s="4" t="s">
        <v>1021</v>
      </c>
      <c r="E1320" s="4" t="s">
        <v>1021</v>
      </c>
      <c r="F1320" s="4" t="s">
        <v>1767</v>
      </c>
      <c r="G1320" s="4"/>
      <c r="H1320" s="4"/>
    </row>
    <row r="1321" spans="1:8">
      <c r="A1321" s="4">
        <v>335</v>
      </c>
      <c r="B1321" s="4" t="s">
        <v>1019</v>
      </c>
      <c r="C1321" s="4" t="s">
        <v>1936</v>
      </c>
      <c r="D1321" s="4" t="s">
        <v>840</v>
      </c>
      <c r="E1321" s="4" t="s">
        <v>1071</v>
      </c>
      <c r="F1321" s="4" t="s">
        <v>1738</v>
      </c>
      <c r="G1321" s="4"/>
      <c r="H1321" s="4"/>
    </row>
    <row r="1322" spans="1:8" ht="27.6">
      <c r="A1322" s="4">
        <v>336</v>
      </c>
      <c r="B1322" s="4" t="s">
        <v>1022</v>
      </c>
      <c r="C1322" s="4" t="s">
        <v>1925</v>
      </c>
      <c r="D1322" s="4" t="s">
        <v>1023</v>
      </c>
      <c r="E1322" s="4" t="s">
        <v>3298</v>
      </c>
      <c r="F1322" s="4" t="s">
        <v>1839</v>
      </c>
      <c r="G1322" s="4" t="s">
        <v>841</v>
      </c>
      <c r="H1322" s="4" t="s">
        <v>1927</v>
      </c>
    </row>
    <row r="1323" spans="1:8">
      <c r="A1323" s="4">
        <v>336</v>
      </c>
      <c r="B1323" s="4" t="s">
        <v>1022</v>
      </c>
      <c r="C1323" s="4" t="s">
        <v>1925</v>
      </c>
      <c r="D1323" s="4" t="s">
        <v>1023</v>
      </c>
      <c r="E1323" s="4" t="s">
        <v>3299</v>
      </c>
      <c r="F1323" s="4" t="s">
        <v>3300</v>
      </c>
      <c r="G1323" s="4"/>
      <c r="H1323" s="4"/>
    </row>
    <row r="1324" spans="1:8">
      <c r="A1324" s="4">
        <v>336</v>
      </c>
      <c r="B1324" s="4" t="s">
        <v>1022</v>
      </c>
      <c r="C1324" s="4" t="s">
        <v>1925</v>
      </c>
      <c r="D1324" s="4" t="s">
        <v>1023</v>
      </c>
      <c r="E1324" s="4" t="s">
        <v>3301</v>
      </c>
      <c r="F1324" s="4" t="s">
        <v>3302</v>
      </c>
      <c r="G1324" s="4"/>
      <c r="H1324" s="4"/>
    </row>
    <row r="1325" spans="1:8">
      <c r="A1325" s="4">
        <v>336</v>
      </c>
      <c r="B1325" s="4" t="s">
        <v>1022</v>
      </c>
      <c r="C1325" s="4" t="s">
        <v>1930</v>
      </c>
      <c r="D1325" s="4" t="s">
        <v>1024</v>
      </c>
      <c r="E1325" s="4" t="s">
        <v>1024</v>
      </c>
      <c r="F1325" s="4" t="s">
        <v>1840</v>
      </c>
      <c r="G1325" s="4"/>
      <c r="H1325" s="4"/>
    </row>
    <row r="1326" spans="1:8" ht="27.6">
      <c r="A1326" s="4">
        <v>337</v>
      </c>
      <c r="B1326" s="4" t="s">
        <v>1025</v>
      </c>
      <c r="C1326" s="4" t="s">
        <v>1925</v>
      </c>
      <c r="D1326" s="4" t="s">
        <v>1026</v>
      </c>
      <c r="E1326" s="4" t="s">
        <v>3303</v>
      </c>
      <c r="F1326" s="4" t="s">
        <v>1841</v>
      </c>
      <c r="G1326" s="4" t="s">
        <v>211</v>
      </c>
      <c r="H1326" s="4" t="s">
        <v>1927</v>
      </c>
    </row>
    <row r="1327" spans="1:8">
      <c r="A1327" s="4">
        <v>337</v>
      </c>
      <c r="B1327" s="4" t="s">
        <v>1025</v>
      </c>
      <c r="C1327" s="4" t="s">
        <v>1925</v>
      </c>
      <c r="D1327" s="4" t="s">
        <v>1026</v>
      </c>
      <c r="E1327" s="4" t="s">
        <v>3304</v>
      </c>
      <c r="F1327" s="4" t="s">
        <v>3305</v>
      </c>
      <c r="G1327" s="4"/>
      <c r="H1327" s="4"/>
    </row>
    <row r="1328" spans="1:8">
      <c r="A1328" s="4">
        <v>337</v>
      </c>
      <c r="B1328" s="4" t="s">
        <v>1025</v>
      </c>
      <c r="C1328" s="4" t="s">
        <v>1930</v>
      </c>
      <c r="D1328" s="4" t="s">
        <v>1027</v>
      </c>
      <c r="E1328" s="4" t="s">
        <v>1027</v>
      </c>
      <c r="F1328" s="4" t="s">
        <v>1842</v>
      </c>
      <c r="G1328" s="4"/>
      <c r="H1328" s="4"/>
    </row>
    <row r="1329" spans="1:8" ht="27.6">
      <c r="A1329" s="4">
        <v>338</v>
      </c>
      <c r="B1329" s="4" t="s">
        <v>1028</v>
      </c>
      <c r="C1329" s="4" t="s">
        <v>1925</v>
      </c>
      <c r="D1329" s="4" t="s">
        <v>1029</v>
      </c>
      <c r="E1329" s="4" t="s">
        <v>3306</v>
      </c>
      <c r="F1329" s="4" t="s">
        <v>1843</v>
      </c>
      <c r="G1329" s="4" t="s">
        <v>211</v>
      </c>
      <c r="H1329" s="4" t="s">
        <v>1927</v>
      </c>
    </row>
    <row r="1330" spans="1:8">
      <c r="A1330" s="4">
        <v>338</v>
      </c>
      <c r="B1330" s="4" t="s">
        <v>1028</v>
      </c>
      <c r="C1330" s="4" t="s">
        <v>1925</v>
      </c>
      <c r="D1330" s="4" t="s">
        <v>1029</v>
      </c>
      <c r="E1330" s="4" t="s">
        <v>3307</v>
      </c>
      <c r="F1330" s="4" t="s">
        <v>3308</v>
      </c>
      <c r="G1330" s="4"/>
      <c r="H1330" s="4"/>
    </row>
    <row r="1331" spans="1:8">
      <c r="A1331" s="4">
        <v>338</v>
      </c>
      <c r="B1331" s="4" t="s">
        <v>1028</v>
      </c>
      <c r="C1331" s="4" t="s">
        <v>1925</v>
      </c>
      <c r="D1331" s="4" t="s">
        <v>1029</v>
      </c>
      <c r="E1331" s="4" t="s">
        <v>3309</v>
      </c>
      <c r="F1331" s="4" t="s">
        <v>3310</v>
      </c>
      <c r="G1331" s="4"/>
      <c r="H1331" s="4"/>
    </row>
    <row r="1332" spans="1:8">
      <c r="A1332" s="4">
        <v>338</v>
      </c>
      <c r="B1332" s="4" t="s">
        <v>1028</v>
      </c>
      <c r="C1332" s="4" t="s">
        <v>1930</v>
      </c>
      <c r="D1332" s="4" t="s">
        <v>1030</v>
      </c>
      <c r="E1332" s="4" t="s">
        <v>1030</v>
      </c>
      <c r="F1332" s="4" t="s">
        <v>1844</v>
      </c>
      <c r="G1332" s="4"/>
      <c r="H1332" s="4"/>
    </row>
    <row r="1333" spans="1:8" ht="27.6">
      <c r="A1333" s="4">
        <v>339</v>
      </c>
      <c r="B1333" s="4" t="s">
        <v>1031</v>
      </c>
      <c r="C1333" s="4" t="s">
        <v>1925</v>
      </c>
      <c r="D1333" s="4" t="s">
        <v>1032</v>
      </c>
      <c r="E1333" s="4" t="s">
        <v>3311</v>
      </c>
      <c r="F1333" s="4" t="s">
        <v>1845</v>
      </c>
      <c r="G1333" s="4" t="s">
        <v>211</v>
      </c>
      <c r="H1333" s="4" t="s">
        <v>1927</v>
      </c>
    </row>
    <row r="1334" spans="1:8">
      <c r="A1334" s="4">
        <v>339</v>
      </c>
      <c r="B1334" s="4" t="s">
        <v>1031</v>
      </c>
      <c r="C1334" s="4" t="s">
        <v>1925</v>
      </c>
      <c r="D1334" s="4" t="s">
        <v>1032</v>
      </c>
      <c r="E1334" s="4" t="s">
        <v>3312</v>
      </c>
      <c r="F1334" s="4" t="s">
        <v>3313</v>
      </c>
      <c r="G1334" s="4"/>
      <c r="H1334" s="4"/>
    </row>
    <row r="1335" spans="1:8">
      <c r="A1335" s="4">
        <v>339</v>
      </c>
      <c r="B1335" s="4" t="s">
        <v>1031</v>
      </c>
      <c r="C1335" s="4" t="s">
        <v>1930</v>
      </c>
      <c r="D1335" s="4" t="s">
        <v>1033</v>
      </c>
      <c r="E1335" s="4" t="s">
        <v>1033</v>
      </c>
      <c r="F1335" s="4" t="s">
        <v>1846</v>
      </c>
      <c r="G1335" s="4"/>
      <c r="H1335" s="4"/>
    </row>
    <row r="1336" spans="1:8" ht="27.6">
      <c r="A1336" s="4">
        <v>340</v>
      </c>
      <c r="B1336" s="4" t="s">
        <v>1034</v>
      </c>
      <c r="C1336" s="4" t="s">
        <v>1925</v>
      </c>
      <c r="D1336" s="4" t="s">
        <v>1035</v>
      </c>
      <c r="E1336" s="4" t="s">
        <v>3314</v>
      </c>
      <c r="F1336" s="4" t="s">
        <v>1847</v>
      </c>
      <c r="G1336" s="4" t="s">
        <v>34</v>
      </c>
      <c r="H1336" s="4" t="s">
        <v>1927</v>
      </c>
    </row>
    <row r="1337" spans="1:8">
      <c r="A1337" s="4">
        <v>340</v>
      </c>
      <c r="B1337" s="4" t="s">
        <v>1034</v>
      </c>
      <c r="C1337" s="4" t="s">
        <v>1925</v>
      </c>
      <c r="D1337" s="4" t="s">
        <v>1035</v>
      </c>
      <c r="E1337" s="4" t="s">
        <v>3315</v>
      </c>
      <c r="F1337" s="4" t="s">
        <v>3316</v>
      </c>
      <c r="G1337" s="4"/>
      <c r="H1337" s="4"/>
    </row>
    <row r="1338" spans="1:8">
      <c r="A1338" s="4">
        <v>340</v>
      </c>
      <c r="B1338" s="4" t="s">
        <v>1034</v>
      </c>
      <c r="C1338" s="4" t="s">
        <v>1925</v>
      </c>
      <c r="D1338" s="4" t="s">
        <v>1035</v>
      </c>
      <c r="E1338" s="4" t="s">
        <v>3317</v>
      </c>
      <c r="F1338" s="4" t="s">
        <v>3318</v>
      </c>
      <c r="G1338" s="4"/>
      <c r="H1338" s="4"/>
    </row>
    <row r="1339" spans="1:8">
      <c r="A1339" s="4">
        <v>340</v>
      </c>
      <c r="B1339" s="4" t="s">
        <v>1034</v>
      </c>
      <c r="C1339" s="4" t="s">
        <v>1930</v>
      </c>
      <c r="D1339" s="4" t="s">
        <v>1036</v>
      </c>
      <c r="E1339" s="4" t="s">
        <v>1036</v>
      </c>
      <c r="F1339" s="4" t="s">
        <v>1848</v>
      </c>
      <c r="G1339" s="4"/>
      <c r="H1339" s="4"/>
    </row>
    <row r="1340" spans="1:8" ht="27.6">
      <c r="A1340" s="4">
        <v>341</v>
      </c>
      <c r="B1340" s="4" t="s">
        <v>1037</v>
      </c>
      <c r="C1340" s="4" t="s">
        <v>1925</v>
      </c>
      <c r="D1340" s="4" t="s">
        <v>1038</v>
      </c>
      <c r="E1340" s="4" t="s">
        <v>3319</v>
      </c>
      <c r="F1340" s="4" t="s">
        <v>1849</v>
      </c>
      <c r="G1340" s="4" t="s">
        <v>34</v>
      </c>
      <c r="H1340" s="4" t="s">
        <v>1927</v>
      </c>
    </row>
    <row r="1341" spans="1:8">
      <c r="A1341" s="4">
        <v>341</v>
      </c>
      <c r="B1341" s="4" t="s">
        <v>1037</v>
      </c>
      <c r="C1341" s="4" t="s">
        <v>1925</v>
      </c>
      <c r="D1341" s="4" t="s">
        <v>1038</v>
      </c>
      <c r="E1341" s="4" t="s">
        <v>3320</v>
      </c>
      <c r="F1341" s="4" t="s">
        <v>3321</v>
      </c>
      <c r="G1341" s="4"/>
      <c r="H1341" s="4"/>
    </row>
    <row r="1342" spans="1:8">
      <c r="A1342" s="4">
        <v>341</v>
      </c>
      <c r="B1342" s="4" t="s">
        <v>1037</v>
      </c>
      <c r="C1342" s="4" t="s">
        <v>1930</v>
      </c>
      <c r="D1342" s="4" t="s">
        <v>1039</v>
      </c>
      <c r="E1342" s="4" t="s">
        <v>1039</v>
      </c>
      <c r="F1342" s="4" t="s">
        <v>1850</v>
      </c>
      <c r="G1342" s="4"/>
      <c r="H1342" s="4"/>
    </row>
    <row r="1343" spans="1:8" ht="27.6">
      <c r="A1343" s="4">
        <v>342</v>
      </c>
      <c r="B1343" s="4" t="s">
        <v>1040</v>
      </c>
      <c r="C1343" s="4" t="s">
        <v>1925</v>
      </c>
      <c r="D1343" s="4" t="s">
        <v>1041</v>
      </c>
      <c r="E1343" s="4" t="s">
        <v>3322</v>
      </c>
      <c r="F1343" s="4" t="s">
        <v>1851</v>
      </c>
      <c r="G1343" s="4" t="s">
        <v>34</v>
      </c>
      <c r="H1343" s="4" t="s">
        <v>1927</v>
      </c>
    </row>
    <row r="1344" spans="1:8">
      <c r="A1344" s="4">
        <v>342</v>
      </c>
      <c r="B1344" s="4" t="s">
        <v>1040</v>
      </c>
      <c r="C1344" s="4" t="s">
        <v>1925</v>
      </c>
      <c r="D1344" s="4" t="s">
        <v>1041</v>
      </c>
      <c r="E1344" s="4" t="s">
        <v>3323</v>
      </c>
      <c r="F1344" s="4" t="s">
        <v>3324</v>
      </c>
      <c r="G1344" s="4"/>
      <c r="H1344" s="4"/>
    </row>
    <row r="1345" spans="1:8">
      <c r="A1345" s="4">
        <v>342</v>
      </c>
      <c r="B1345" s="4" t="s">
        <v>1040</v>
      </c>
      <c r="C1345" s="4" t="s">
        <v>1925</v>
      </c>
      <c r="D1345" s="4" t="s">
        <v>1041</v>
      </c>
      <c r="E1345" s="4" t="s">
        <v>3325</v>
      </c>
      <c r="F1345" s="4" t="s">
        <v>3326</v>
      </c>
      <c r="G1345" s="4"/>
      <c r="H1345" s="4"/>
    </row>
    <row r="1346" spans="1:8">
      <c r="A1346" s="4">
        <v>342</v>
      </c>
      <c r="B1346" s="4" t="s">
        <v>1040</v>
      </c>
      <c r="C1346" s="4" t="s">
        <v>1930</v>
      </c>
      <c r="D1346" s="4" t="s">
        <v>1042</v>
      </c>
      <c r="E1346" s="4" t="s">
        <v>1042</v>
      </c>
      <c r="F1346" s="4" t="s">
        <v>1852</v>
      </c>
      <c r="G1346" s="4"/>
      <c r="H1346" s="4"/>
    </row>
    <row r="1347" spans="1:8">
      <c r="A1347" s="4">
        <v>342</v>
      </c>
      <c r="B1347" s="4" t="s">
        <v>1040</v>
      </c>
      <c r="C1347" s="4" t="s">
        <v>1936</v>
      </c>
      <c r="D1347" s="4" t="s">
        <v>33</v>
      </c>
      <c r="E1347" s="4" t="s">
        <v>170</v>
      </c>
      <c r="F1347" s="4" t="s">
        <v>1275</v>
      </c>
      <c r="G1347" s="4"/>
      <c r="H1347" s="4"/>
    </row>
    <row r="1348" spans="1:8" ht="27.6">
      <c r="A1348" s="4">
        <v>343</v>
      </c>
      <c r="B1348" s="4" t="s">
        <v>1043</v>
      </c>
      <c r="C1348" s="4" t="s">
        <v>1925</v>
      </c>
      <c r="D1348" s="4" t="s">
        <v>1044</v>
      </c>
      <c r="E1348" s="4" t="s">
        <v>3327</v>
      </c>
      <c r="F1348" s="4" t="s">
        <v>1853</v>
      </c>
      <c r="G1348" s="4" t="s">
        <v>34</v>
      </c>
      <c r="H1348" s="4" t="s">
        <v>1927</v>
      </c>
    </row>
    <row r="1349" spans="1:8">
      <c r="A1349" s="4">
        <v>343</v>
      </c>
      <c r="B1349" s="4" t="s">
        <v>1043</v>
      </c>
      <c r="C1349" s="4" t="s">
        <v>1925</v>
      </c>
      <c r="D1349" s="4" t="s">
        <v>1044</v>
      </c>
      <c r="E1349" s="4" t="s">
        <v>3328</v>
      </c>
      <c r="F1349" s="4" t="s">
        <v>3329</v>
      </c>
      <c r="G1349" s="4"/>
      <c r="H1349" s="4"/>
    </row>
    <row r="1350" spans="1:8">
      <c r="A1350" s="4">
        <v>343</v>
      </c>
      <c r="B1350" s="4" t="s">
        <v>1043</v>
      </c>
      <c r="C1350" s="4" t="s">
        <v>1925</v>
      </c>
      <c r="D1350" s="4" t="s">
        <v>1044</v>
      </c>
      <c r="E1350" s="4" t="s">
        <v>3330</v>
      </c>
      <c r="F1350" s="4" t="s">
        <v>3331</v>
      </c>
      <c r="G1350" s="4"/>
      <c r="H1350" s="4"/>
    </row>
    <row r="1351" spans="1:8">
      <c r="A1351" s="4">
        <v>343</v>
      </c>
      <c r="B1351" s="4" t="s">
        <v>1043</v>
      </c>
      <c r="C1351" s="4" t="s">
        <v>1930</v>
      </c>
      <c r="D1351" s="4" t="s">
        <v>1045</v>
      </c>
      <c r="E1351" s="4" t="s">
        <v>1045</v>
      </c>
      <c r="F1351" s="4" t="s">
        <v>1854</v>
      </c>
      <c r="G1351" s="4"/>
      <c r="H1351" s="4"/>
    </row>
    <row r="1352" spans="1:8">
      <c r="A1352" s="4">
        <v>343</v>
      </c>
      <c r="B1352" s="4" t="s">
        <v>1043</v>
      </c>
      <c r="C1352" s="4" t="s">
        <v>1936</v>
      </c>
      <c r="D1352" s="4" t="s">
        <v>33</v>
      </c>
      <c r="E1352" s="4" t="s">
        <v>170</v>
      </c>
      <c r="F1352" s="4" t="s">
        <v>1275</v>
      </c>
      <c r="G1352" s="4"/>
      <c r="H1352" s="4"/>
    </row>
    <row r="1353" spans="1:8" ht="27.6">
      <c r="A1353" s="4">
        <v>344</v>
      </c>
      <c r="B1353" s="4" t="s">
        <v>1046</v>
      </c>
      <c r="C1353" s="4" t="s">
        <v>1925</v>
      </c>
      <c r="D1353" s="4" t="s">
        <v>1047</v>
      </c>
      <c r="E1353" s="4" t="s">
        <v>3332</v>
      </c>
      <c r="F1353" s="4" t="s">
        <v>1855</v>
      </c>
      <c r="G1353" s="4" t="s">
        <v>34</v>
      </c>
      <c r="H1353" s="4" t="s">
        <v>1927</v>
      </c>
    </row>
    <row r="1354" spans="1:8">
      <c r="A1354" s="4">
        <v>344</v>
      </c>
      <c r="B1354" s="4" t="s">
        <v>1046</v>
      </c>
      <c r="C1354" s="4" t="s">
        <v>1925</v>
      </c>
      <c r="D1354" s="4" t="s">
        <v>1047</v>
      </c>
      <c r="E1354" s="4" t="s">
        <v>3333</v>
      </c>
      <c r="F1354" s="4" t="s">
        <v>3334</v>
      </c>
      <c r="G1354" s="4"/>
      <c r="H1354" s="4"/>
    </row>
    <row r="1355" spans="1:8">
      <c r="A1355" s="4">
        <v>344</v>
      </c>
      <c r="B1355" s="4" t="s">
        <v>1046</v>
      </c>
      <c r="C1355" s="4" t="s">
        <v>1930</v>
      </c>
      <c r="D1355" s="4" t="s">
        <v>33</v>
      </c>
      <c r="E1355" s="4" t="s">
        <v>170</v>
      </c>
      <c r="F1355" s="4" t="s">
        <v>1275</v>
      </c>
      <c r="G1355" s="4"/>
      <c r="H1355" s="4"/>
    </row>
    <row r="1356" spans="1:8" ht="27.6">
      <c r="A1356" s="4">
        <v>345</v>
      </c>
      <c r="B1356" s="4" t="s">
        <v>1048</v>
      </c>
      <c r="C1356" s="4" t="s">
        <v>1925</v>
      </c>
      <c r="D1356" s="4" t="s">
        <v>1049</v>
      </c>
      <c r="E1356" s="4" t="s">
        <v>3335</v>
      </c>
      <c r="F1356" s="4" t="s">
        <v>1856</v>
      </c>
      <c r="G1356" s="4" t="s">
        <v>893</v>
      </c>
      <c r="H1356" s="4" t="s">
        <v>1927</v>
      </c>
    </row>
    <row r="1357" spans="1:8">
      <c r="A1357" s="4">
        <v>345</v>
      </c>
      <c r="B1357" s="4" t="s">
        <v>1048</v>
      </c>
      <c r="C1357" s="4" t="s">
        <v>1925</v>
      </c>
      <c r="D1357" s="4" t="s">
        <v>1049</v>
      </c>
      <c r="E1357" s="4" t="s">
        <v>3336</v>
      </c>
      <c r="F1357" s="4" t="s">
        <v>3337</v>
      </c>
      <c r="G1357" s="4"/>
      <c r="H1357" s="4"/>
    </row>
    <row r="1358" spans="1:8">
      <c r="A1358" s="4">
        <v>345</v>
      </c>
      <c r="B1358" s="4" t="s">
        <v>1048</v>
      </c>
      <c r="C1358" s="4" t="s">
        <v>1925</v>
      </c>
      <c r="D1358" s="4" t="s">
        <v>1049</v>
      </c>
      <c r="E1358" s="4" t="s">
        <v>3338</v>
      </c>
      <c r="F1358" s="4" t="s">
        <v>3339</v>
      </c>
      <c r="G1358" s="4"/>
      <c r="H1358" s="4"/>
    </row>
    <row r="1359" spans="1:8">
      <c r="A1359" s="4">
        <v>345</v>
      </c>
      <c r="B1359" s="4" t="s">
        <v>1048</v>
      </c>
      <c r="C1359" s="4" t="s">
        <v>1930</v>
      </c>
      <c r="D1359" s="4" t="s">
        <v>1050</v>
      </c>
      <c r="E1359" s="4" t="s">
        <v>1050</v>
      </c>
      <c r="F1359" s="4" t="s">
        <v>1857</v>
      </c>
      <c r="G1359" s="4"/>
      <c r="H1359" s="4"/>
    </row>
    <row r="1360" spans="1:8">
      <c r="A1360" s="4">
        <v>345</v>
      </c>
      <c r="B1360" s="4" t="s">
        <v>1048</v>
      </c>
      <c r="C1360" s="4" t="s">
        <v>1936</v>
      </c>
      <c r="D1360" s="4" t="s">
        <v>892</v>
      </c>
      <c r="E1360" s="4" t="s">
        <v>1021</v>
      </c>
      <c r="F1360" s="4" t="s">
        <v>1767</v>
      </c>
      <c r="G1360" s="4"/>
      <c r="H1360" s="4"/>
    </row>
    <row r="1361" spans="1:8" ht="27.6">
      <c r="A1361" s="4">
        <v>346</v>
      </c>
      <c r="B1361" s="4" t="s">
        <v>1051</v>
      </c>
      <c r="C1361" s="4" t="s">
        <v>1925</v>
      </c>
      <c r="D1361" s="4" t="s">
        <v>1052</v>
      </c>
      <c r="E1361" s="4" t="s">
        <v>3340</v>
      </c>
      <c r="F1361" s="4" t="s">
        <v>1858</v>
      </c>
      <c r="G1361" s="4" t="s">
        <v>893</v>
      </c>
      <c r="H1361" s="4" t="s">
        <v>1927</v>
      </c>
    </row>
    <row r="1362" spans="1:8">
      <c r="A1362" s="4">
        <v>346</v>
      </c>
      <c r="B1362" s="4" t="s">
        <v>1051</v>
      </c>
      <c r="C1362" s="4" t="s">
        <v>1925</v>
      </c>
      <c r="D1362" s="4" t="s">
        <v>1052</v>
      </c>
      <c r="E1362" s="4" t="s">
        <v>3341</v>
      </c>
      <c r="F1362" s="4" t="s">
        <v>3342</v>
      </c>
      <c r="G1362" s="4"/>
      <c r="H1362" s="4"/>
    </row>
    <row r="1363" spans="1:8">
      <c r="A1363" s="4">
        <v>346</v>
      </c>
      <c r="B1363" s="4" t="s">
        <v>1051</v>
      </c>
      <c r="C1363" s="4" t="s">
        <v>1930</v>
      </c>
      <c r="D1363" s="4" t="s">
        <v>1053</v>
      </c>
      <c r="E1363" s="4" t="s">
        <v>1053</v>
      </c>
      <c r="F1363" s="4" t="s">
        <v>1859</v>
      </c>
      <c r="G1363" s="4"/>
      <c r="H1363" s="4"/>
    </row>
    <row r="1364" spans="1:8">
      <c r="A1364" s="4">
        <v>346</v>
      </c>
      <c r="B1364" s="4" t="s">
        <v>1051</v>
      </c>
      <c r="C1364" s="4" t="s">
        <v>1936</v>
      </c>
      <c r="D1364" s="4" t="s">
        <v>892</v>
      </c>
      <c r="E1364" s="4" t="s">
        <v>1021</v>
      </c>
      <c r="F1364" s="4" t="s">
        <v>1767</v>
      </c>
      <c r="G1364" s="4"/>
      <c r="H1364" s="4"/>
    </row>
    <row r="1365" spans="1:8" ht="27.6">
      <c r="A1365" s="4">
        <v>347</v>
      </c>
      <c r="B1365" s="4" t="s">
        <v>1054</v>
      </c>
      <c r="C1365" s="4" t="s">
        <v>1925</v>
      </c>
      <c r="D1365" s="4" t="s">
        <v>1055</v>
      </c>
      <c r="E1365" s="4" t="s">
        <v>3343</v>
      </c>
      <c r="F1365" s="4" t="s">
        <v>1860</v>
      </c>
      <c r="G1365" s="4" t="s">
        <v>226</v>
      </c>
      <c r="H1365" s="4" t="s">
        <v>1927</v>
      </c>
    </row>
    <row r="1366" spans="1:8">
      <c r="A1366" s="4">
        <v>347</v>
      </c>
      <c r="B1366" s="4" t="s">
        <v>1054</v>
      </c>
      <c r="C1366" s="4" t="s">
        <v>1925</v>
      </c>
      <c r="D1366" s="4" t="s">
        <v>1055</v>
      </c>
      <c r="E1366" s="4" t="s">
        <v>3344</v>
      </c>
      <c r="F1366" s="4" t="s">
        <v>3345</v>
      </c>
      <c r="G1366" s="4"/>
      <c r="H1366" s="4"/>
    </row>
    <row r="1367" spans="1:8">
      <c r="A1367" s="4">
        <v>347</v>
      </c>
      <c r="B1367" s="4" t="s">
        <v>1054</v>
      </c>
      <c r="C1367" s="4" t="s">
        <v>1925</v>
      </c>
      <c r="D1367" s="4" t="s">
        <v>1055</v>
      </c>
      <c r="E1367" s="4" t="s">
        <v>3346</v>
      </c>
      <c r="F1367" s="4" t="s">
        <v>3347</v>
      </c>
      <c r="G1367" s="4"/>
      <c r="H1367" s="4"/>
    </row>
    <row r="1368" spans="1:8">
      <c r="A1368" s="4">
        <v>347</v>
      </c>
      <c r="B1368" s="4" t="s">
        <v>1054</v>
      </c>
      <c r="C1368" s="4" t="s">
        <v>1930</v>
      </c>
      <c r="D1368" s="4" t="s">
        <v>1056</v>
      </c>
      <c r="E1368" s="4" t="s">
        <v>1056</v>
      </c>
      <c r="F1368" s="4" t="s">
        <v>1861</v>
      </c>
      <c r="G1368" s="4"/>
      <c r="H1368" s="4"/>
    </row>
    <row r="1369" spans="1:8">
      <c r="A1369" s="4">
        <v>347</v>
      </c>
      <c r="B1369" s="4" t="s">
        <v>1054</v>
      </c>
      <c r="C1369" s="4" t="s">
        <v>1936</v>
      </c>
      <c r="D1369" s="4" t="s">
        <v>267</v>
      </c>
      <c r="E1369" s="4" t="s">
        <v>173</v>
      </c>
      <c r="F1369" s="4" t="s">
        <v>1347</v>
      </c>
      <c r="G1369" s="4"/>
      <c r="H1369" s="4"/>
    </row>
    <row r="1370" spans="1:8" ht="27.6">
      <c r="A1370" s="4">
        <v>348</v>
      </c>
      <c r="B1370" s="4" t="s">
        <v>1057</v>
      </c>
      <c r="C1370" s="4" t="s">
        <v>1925</v>
      </c>
      <c r="D1370" s="4" t="s">
        <v>1058</v>
      </c>
      <c r="E1370" s="4" t="s">
        <v>3348</v>
      </c>
      <c r="F1370" s="4" t="s">
        <v>1862</v>
      </c>
      <c r="G1370" s="4" t="s">
        <v>226</v>
      </c>
      <c r="H1370" s="4" t="s">
        <v>1927</v>
      </c>
    </row>
    <row r="1371" spans="1:8">
      <c r="A1371" s="4">
        <v>348</v>
      </c>
      <c r="B1371" s="4" t="s">
        <v>1057</v>
      </c>
      <c r="C1371" s="4" t="s">
        <v>1925</v>
      </c>
      <c r="D1371" s="4" t="s">
        <v>1058</v>
      </c>
      <c r="E1371" s="4" t="s">
        <v>3349</v>
      </c>
      <c r="F1371" s="4" t="s">
        <v>3350</v>
      </c>
      <c r="G1371" s="4"/>
      <c r="H1371" s="4"/>
    </row>
    <row r="1372" spans="1:8">
      <c r="A1372" s="4">
        <v>348</v>
      </c>
      <c r="B1372" s="4" t="s">
        <v>1057</v>
      </c>
      <c r="C1372" s="4" t="s">
        <v>1930</v>
      </c>
      <c r="D1372" s="4" t="s">
        <v>1059</v>
      </c>
      <c r="E1372" s="4" t="s">
        <v>1059</v>
      </c>
      <c r="F1372" s="4" t="s">
        <v>1863</v>
      </c>
      <c r="G1372" s="4"/>
      <c r="H1372" s="4"/>
    </row>
    <row r="1373" spans="1:8">
      <c r="A1373" s="4">
        <v>348</v>
      </c>
      <c r="B1373" s="4" t="s">
        <v>1057</v>
      </c>
      <c r="C1373" s="4" t="s">
        <v>1936</v>
      </c>
      <c r="D1373" s="4" t="s">
        <v>267</v>
      </c>
      <c r="E1373" s="4" t="s">
        <v>173</v>
      </c>
      <c r="F1373" s="4" t="s">
        <v>1347</v>
      </c>
      <c r="G1373" s="4"/>
      <c r="H1373" s="4"/>
    </row>
    <row r="1374" spans="1:8" ht="27.6">
      <c r="A1374" s="4">
        <v>349</v>
      </c>
      <c r="B1374" s="4" t="s">
        <v>1060</v>
      </c>
      <c r="C1374" s="4" t="s">
        <v>1925</v>
      </c>
      <c r="D1374" s="4" t="s">
        <v>1061</v>
      </c>
      <c r="E1374" s="4" t="s">
        <v>3351</v>
      </c>
      <c r="F1374" s="4" t="s">
        <v>1864</v>
      </c>
      <c r="G1374" s="4" t="s">
        <v>254</v>
      </c>
      <c r="H1374" s="4" t="s">
        <v>1927</v>
      </c>
    </row>
    <row r="1375" spans="1:8">
      <c r="A1375" s="4">
        <v>349</v>
      </c>
      <c r="B1375" s="4" t="s">
        <v>1060</v>
      </c>
      <c r="C1375" s="4" t="s">
        <v>1925</v>
      </c>
      <c r="D1375" s="4" t="s">
        <v>1061</v>
      </c>
      <c r="E1375" s="4" t="s">
        <v>3352</v>
      </c>
      <c r="F1375" s="4" t="s">
        <v>3353</v>
      </c>
      <c r="G1375" s="4"/>
      <c r="H1375" s="4"/>
    </row>
    <row r="1376" spans="1:8">
      <c r="A1376" s="4">
        <v>349</v>
      </c>
      <c r="B1376" s="4" t="s">
        <v>1060</v>
      </c>
      <c r="C1376" s="4" t="s">
        <v>1925</v>
      </c>
      <c r="D1376" s="4" t="s">
        <v>1061</v>
      </c>
      <c r="E1376" s="4" t="s">
        <v>3354</v>
      </c>
      <c r="F1376" s="4" t="s">
        <v>3355</v>
      </c>
      <c r="G1376" s="4"/>
      <c r="H1376" s="4"/>
    </row>
    <row r="1377" spans="1:8">
      <c r="A1377" s="4">
        <v>349</v>
      </c>
      <c r="B1377" s="4" t="s">
        <v>1060</v>
      </c>
      <c r="C1377" s="4" t="s">
        <v>1930</v>
      </c>
      <c r="D1377" s="4" t="s">
        <v>1062</v>
      </c>
      <c r="E1377" s="4" t="s">
        <v>1062</v>
      </c>
      <c r="F1377" s="4" t="s">
        <v>1865</v>
      </c>
      <c r="G1377" s="4"/>
      <c r="H1377" s="4"/>
    </row>
    <row r="1378" spans="1:8">
      <c r="A1378" s="4">
        <v>349</v>
      </c>
      <c r="B1378" s="4" t="s">
        <v>1060</v>
      </c>
      <c r="C1378" s="4" t="s">
        <v>1936</v>
      </c>
      <c r="D1378" s="4" t="s">
        <v>253</v>
      </c>
      <c r="E1378" s="4" t="s">
        <v>384</v>
      </c>
      <c r="F1378" s="4" t="s">
        <v>1392</v>
      </c>
      <c r="G1378" s="4"/>
      <c r="H1378" s="4"/>
    </row>
    <row r="1379" spans="1:8" ht="27.6">
      <c r="A1379" s="4">
        <v>350</v>
      </c>
      <c r="B1379" s="4" t="s">
        <v>1063</v>
      </c>
      <c r="C1379" s="4" t="s">
        <v>1925</v>
      </c>
      <c r="D1379" s="4" t="s">
        <v>1064</v>
      </c>
      <c r="E1379" s="4" t="s">
        <v>3356</v>
      </c>
      <c r="F1379" s="4" t="s">
        <v>1866</v>
      </c>
      <c r="G1379" s="4" t="s">
        <v>855</v>
      </c>
      <c r="H1379" s="4" t="s">
        <v>1927</v>
      </c>
    </row>
    <row r="1380" spans="1:8">
      <c r="A1380" s="4">
        <v>350</v>
      </c>
      <c r="B1380" s="4" t="s">
        <v>1063</v>
      </c>
      <c r="C1380" s="4" t="s">
        <v>1925</v>
      </c>
      <c r="D1380" s="4" t="s">
        <v>1064</v>
      </c>
      <c r="E1380" s="4" t="s">
        <v>3357</v>
      </c>
      <c r="F1380" s="4" t="s">
        <v>3358</v>
      </c>
      <c r="G1380" s="4"/>
      <c r="H1380" s="4"/>
    </row>
    <row r="1381" spans="1:8">
      <c r="A1381" s="4">
        <v>350</v>
      </c>
      <c r="B1381" s="4" t="s">
        <v>1063</v>
      </c>
      <c r="C1381" s="4" t="s">
        <v>1930</v>
      </c>
      <c r="D1381" s="4" t="s">
        <v>1065</v>
      </c>
      <c r="E1381" s="4" t="s">
        <v>1065</v>
      </c>
      <c r="F1381" s="4" t="s">
        <v>1867</v>
      </c>
      <c r="G1381" s="4"/>
      <c r="H1381" s="4"/>
    </row>
    <row r="1382" spans="1:8" ht="27.6">
      <c r="A1382" s="4">
        <v>351</v>
      </c>
      <c r="B1382" s="4" t="s">
        <v>1066</v>
      </c>
      <c r="C1382" s="4" t="s">
        <v>1925</v>
      </c>
      <c r="D1382" s="4" t="s">
        <v>1067</v>
      </c>
      <c r="E1382" s="4" t="s">
        <v>3359</v>
      </c>
      <c r="F1382" s="4" t="s">
        <v>1868</v>
      </c>
      <c r="G1382" s="4" t="s">
        <v>855</v>
      </c>
      <c r="H1382" s="4" t="s">
        <v>1927</v>
      </c>
    </row>
    <row r="1383" spans="1:8">
      <c r="A1383" s="4">
        <v>351</v>
      </c>
      <c r="B1383" s="4" t="s">
        <v>1066</v>
      </c>
      <c r="C1383" s="4" t="s">
        <v>1925</v>
      </c>
      <c r="D1383" s="4" t="s">
        <v>1067</v>
      </c>
      <c r="E1383" s="4" t="s">
        <v>3360</v>
      </c>
      <c r="F1383" s="4" t="s">
        <v>3361</v>
      </c>
      <c r="G1383" s="4"/>
      <c r="H1383" s="4"/>
    </row>
    <row r="1384" spans="1:8">
      <c r="A1384" s="4">
        <v>351</v>
      </c>
      <c r="B1384" s="4" t="s">
        <v>1066</v>
      </c>
      <c r="C1384" s="4" t="s">
        <v>1925</v>
      </c>
      <c r="D1384" s="4" t="s">
        <v>1067</v>
      </c>
      <c r="E1384" s="4" t="s">
        <v>3362</v>
      </c>
      <c r="F1384" s="4" t="s">
        <v>3363</v>
      </c>
      <c r="G1384" s="4"/>
      <c r="H1384" s="4"/>
    </row>
    <row r="1385" spans="1:8">
      <c r="A1385" s="4">
        <v>351</v>
      </c>
      <c r="B1385" s="4" t="s">
        <v>1066</v>
      </c>
      <c r="C1385" s="4" t="s">
        <v>1930</v>
      </c>
      <c r="D1385" s="4" t="s">
        <v>1068</v>
      </c>
      <c r="E1385" s="4" t="s">
        <v>1068</v>
      </c>
      <c r="F1385" s="4" t="s">
        <v>1444</v>
      </c>
      <c r="G1385" s="4"/>
      <c r="H1385" s="4"/>
    </row>
    <row r="1386" spans="1:8" ht="27.6">
      <c r="A1386" s="4">
        <v>352</v>
      </c>
      <c r="B1386" s="4" t="s">
        <v>1069</v>
      </c>
      <c r="C1386" s="4" t="s">
        <v>1925</v>
      </c>
      <c r="D1386" s="4" t="s">
        <v>1070</v>
      </c>
      <c r="E1386" s="4" t="s">
        <v>3364</v>
      </c>
      <c r="F1386" s="4" t="s">
        <v>1869</v>
      </c>
      <c r="G1386" s="4" t="s">
        <v>226</v>
      </c>
      <c r="H1386" s="4" t="s">
        <v>1927</v>
      </c>
    </row>
    <row r="1387" spans="1:8">
      <c r="A1387" s="4">
        <v>352</v>
      </c>
      <c r="B1387" s="4" t="s">
        <v>1069</v>
      </c>
      <c r="C1387" s="4" t="s">
        <v>1925</v>
      </c>
      <c r="D1387" s="4" t="s">
        <v>1070</v>
      </c>
      <c r="E1387" s="4" t="s">
        <v>3365</v>
      </c>
      <c r="F1387" s="4" t="s">
        <v>3366</v>
      </c>
      <c r="G1387" s="4"/>
      <c r="H1387" s="4"/>
    </row>
    <row r="1388" spans="1:8">
      <c r="A1388" s="4">
        <v>352</v>
      </c>
      <c r="B1388" s="4" t="s">
        <v>1069</v>
      </c>
      <c r="C1388" s="4" t="s">
        <v>1930</v>
      </c>
      <c r="D1388" s="4" t="s">
        <v>1071</v>
      </c>
      <c r="E1388" s="4" t="s">
        <v>1071</v>
      </c>
      <c r="F1388" s="4" t="s">
        <v>1738</v>
      </c>
      <c r="G1388" s="4"/>
      <c r="H1388" s="4"/>
    </row>
    <row r="1389" spans="1:8">
      <c r="A1389" s="4">
        <v>352</v>
      </c>
      <c r="B1389" s="4" t="s">
        <v>1069</v>
      </c>
      <c r="C1389" s="4" t="s">
        <v>1936</v>
      </c>
      <c r="D1389" s="4" t="s">
        <v>267</v>
      </c>
      <c r="E1389" s="4" t="s">
        <v>173</v>
      </c>
      <c r="F1389" s="4" t="s">
        <v>1347</v>
      </c>
      <c r="G1389" s="4"/>
      <c r="H1389" s="4"/>
    </row>
    <row r="1390" spans="1:8" ht="27.6">
      <c r="A1390" s="4">
        <v>353</v>
      </c>
      <c r="B1390" s="4" t="s">
        <v>1072</v>
      </c>
      <c r="C1390" s="4" t="s">
        <v>1925</v>
      </c>
      <c r="D1390" s="4" t="s">
        <v>1073</v>
      </c>
      <c r="E1390" s="4" t="s">
        <v>3367</v>
      </c>
      <c r="F1390" s="4" t="s">
        <v>1870</v>
      </c>
      <c r="G1390" s="4" t="s">
        <v>211</v>
      </c>
      <c r="H1390" s="4" t="s">
        <v>1927</v>
      </c>
    </row>
    <row r="1391" spans="1:8">
      <c r="A1391" s="4">
        <v>353</v>
      </c>
      <c r="B1391" s="4" t="s">
        <v>1072</v>
      </c>
      <c r="C1391" s="4" t="s">
        <v>1925</v>
      </c>
      <c r="D1391" s="4" t="s">
        <v>1073</v>
      </c>
      <c r="E1391" s="4" t="s">
        <v>3368</v>
      </c>
      <c r="F1391" s="4" t="s">
        <v>3369</v>
      </c>
      <c r="G1391" s="4"/>
      <c r="H1391" s="4"/>
    </row>
    <row r="1392" spans="1:8">
      <c r="A1392" s="4">
        <v>353</v>
      </c>
      <c r="B1392" s="4" t="s">
        <v>1072</v>
      </c>
      <c r="C1392" s="4" t="s">
        <v>1925</v>
      </c>
      <c r="D1392" s="4" t="s">
        <v>1073</v>
      </c>
      <c r="E1392" s="4" t="s">
        <v>3370</v>
      </c>
      <c r="F1392" s="4" t="s">
        <v>3371</v>
      </c>
      <c r="G1392" s="4"/>
      <c r="H1392" s="4"/>
    </row>
    <row r="1393" spans="1:8">
      <c r="A1393" s="4">
        <v>353</v>
      </c>
      <c r="B1393" s="4" t="s">
        <v>1072</v>
      </c>
      <c r="C1393" s="4" t="s">
        <v>1930</v>
      </c>
      <c r="D1393" s="4" t="s">
        <v>1074</v>
      </c>
      <c r="E1393" s="4" t="s">
        <v>1074</v>
      </c>
      <c r="F1393" s="4" t="s">
        <v>1871</v>
      </c>
      <c r="G1393" s="4"/>
      <c r="H1393" s="4"/>
    </row>
    <row r="1394" spans="1:8" ht="27.6">
      <c r="A1394" s="4">
        <v>354</v>
      </c>
      <c r="B1394" s="4" t="s">
        <v>1075</v>
      </c>
      <c r="C1394" s="4" t="s">
        <v>1925</v>
      </c>
      <c r="D1394" s="4" t="s">
        <v>1076</v>
      </c>
      <c r="E1394" s="4" t="s">
        <v>3372</v>
      </c>
      <c r="F1394" s="4" t="s">
        <v>1872</v>
      </c>
      <c r="G1394" s="4" t="s">
        <v>226</v>
      </c>
      <c r="H1394" s="4" t="s">
        <v>1927</v>
      </c>
    </row>
    <row r="1395" spans="1:8">
      <c r="A1395" s="4">
        <v>354</v>
      </c>
      <c r="B1395" s="4" t="s">
        <v>1075</v>
      </c>
      <c r="C1395" s="4" t="s">
        <v>1925</v>
      </c>
      <c r="D1395" s="4" t="s">
        <v>1076</v>
      </c>
      <c r="E1395" s="4" t="s">
        <v>3373</v>
      </c>
      <c r="F1395" s="4" t="s">
        <v>3374</v>
      </c>
      <c r="G1395" s="4"/>
      <c r="H1395" s="4"/>
    </row>
    <row r="1396" spans="1:8">
      <c r="A1396" s="4">
        <v>354</v>
      </c>
      <c r="B1396" s="4" t="s">
        <v>1075</v>
      </c>
      <c r="C1396" s="4" t="s">
        <v>1925</v>
      </c>
      <c r="D1396" s="4" t="s">
        <v>1076</v>
      </c>
      <c r="E1396" s="4" t="s">
        <v>3375</v>
      </c>
      <c r="F1396" s="4" t="s">
        <v>3376</v>
      </c>
      <c r="G1396" s="4"/>
      <c r="H1396" s="4"/>
    </row>
    <row r="1397" spans="1:8">
      <c r="A1397" s="4">
        <v>354</v>
      </c>
      <c r="B1397" s="4" t="s">
        <v>1075</v>
      </c>
      <c r="C1397" s="4" t="s">
        <v>1930</v>
      </c>
      <c r="D1397" s="4" t="s">
        <v>1077</v>
      </c>
      <c r="E1397" s="4" t="s">
        <v>1077</v>
      </c>
      <c r="F1397" s="4" t="s">
        <v>1873</v>
      </c>
      <c r="G1397" s="4"/>
      <c r="H1397" s="4"/>
    </row>
    <row r="1398" spans="1:8" ht="27.6">
      <c r="A1398" s="4">
        <v>355</v>
      </c>
      <c r="B1398" s="4" t="s">
        <v>1078</v>
      </c>
      <c r="C1398" s="4" t="s">
        <v>1925</v>
      </c>
      <c r="D1398" s="4" t="s">
        <v>1079</v>
      </c>
      <c r="E1398" s="4" t="s">
        <v>3377</v>
      </c>
      <c r="F1398" s="4" t="s">
        <v>1874</v>
      </c>
      <c r="G1398" s="4" t="s">
        <v>226</v>
      </c>
      <c r="H1398" s="4" t="s">
        <v>1927</v>
      </c>
    </row>
    <row r="1399" spans="1:8">
      <c r="A1399" s="4">
        <v>355</v>
      </c>
      <c r="B1399" s="4" t="s">
        <v>1078</v>
      </c>
      <c r="C1399" s="4" t="s">
        <v>1925</v>
      </c>
      <c r="D1399" s="4" t="s">
        <v>1079</v>
      </c>
      <c r="E1399" s="4" t="s">
        <v>3378</v>
      </c>
      <c r="F1399" s="4" t="s">
        <v>3379</v>
      </c>
      <c r="G1399" s="4"/>
      <c r="H1399" s="4"/>
    </row>
    <row r="1400" spans="1:8">
      <c r="A1400" s="4">
        <v>355</v>
      </c>
      <c r="B1400" s="4" t="s">
        <v>1078</v>
      </c>
      <c r="C1400" s="4" t="s">
        <v>1930</v>
      </c>
      <c r="D1400" s="4" t="s">
        <v>1080</v>
      </c>
      <c r="E1400" s="4" t="s">
        <v>1080</v>
      </c>
      <c r="F1400" s="4" t="s">
        <v>1875</v>
      </c>
      <c r="G1400" s="4"/>
      <c r="H1400" s="4"/>
    </row>
    <row r="1401" spans="1:8" ht="27.6">
      <c r="A1401" s="4">
        <v>356</v>
      </c>
      <c r="B1401" s="4" t="s">
        <v>1081</v>
      </c>
      <c r="C1401" s="4" t="s">
        <v>1925</v>
      </c>
      <c r="D1401" s="4" t="s">
        <v>1082</v>
      </c>
      <c r="E1401" s="4" t="s">
        <v>3380</v>
      </c>
      <c r="F1401" s="4" t="s">
        <v>1876</v>
      </c>
      <c r="G1401" s="4" t="s">
        <v>226</v>
      </c>
      <c r="H1401" s="4" t="s">
        <v>1927</v>
      </c>
    </row>
    <row r="1402" spans="1:8">
      <c r="A1402" s="4">
        <v>356</v>
      </c>
      <c r="B1402" s="4" t="s">
        <v>1081</v>
      </c>
      <c r="C1402" s="4" t="s">
        <v>1925</v>
      </c>
      <c r="D1402" s="4" t="s">
        <v>1082</v>
      </c>
      <c r="E1402" s="4" t="s">
        <v>3381</v>
      </c>
      <c r="F1402" s="4" t="s">
        <v>3382</v>
      </c>
      <c r="G1402" s="4"/>
      <c r="H1402" s="4"/>
    </row>
    <row r="1403" spans="1:8">
      <c r="A1403" s="4">
        <v>356</v>
      </c>
      <c r="B1403" s="4" t="s">
        <v>1081</v>
      </c>
      <c r="C1403" s="4" t="s">
        <v>1925</v>
      </c>
      <c r="D1403" s="4" t="s">
        <v>1082</v>
      </c>
      <c r="E1403" s="4" t="s">
        <v>3383</v>
      </c>
      <c r="F1403" s="4" t="s">
        <v>3384</v>
      </c>
      <c r="G1403" s="4"/>
      <c r="H1403" s="4"/>
    </row>
    <row r="1404" spans="1:8">
      <c r="A1404" s="4">
        <v>356</v>
      </c>
      <c r="B1404" s="4" t="s">
        <v>1081</v>
      </c>
      <c r="C1404" s="4" t="s">
        <v>1930</v>
      </c>
      <c r="D1404" s="4" t="s">
        <v>1083</v>
      </c>
      <c r="E1404" s="4" t="s">
        <v>1083</v>
      </c>
      <c r="F1404" s="4" t="s">
        <v>1877</v>
      </c>
      <c r="G1404" s="4"/>
      <c r="H1404" s="4"/>
    </row>
    <row r="1405" spans="1:8" ht="27.6">
      <c r="A1405" s="4">
        <v>357</v>
      </c>
      <c r="B1405" s="4" t="s">
        <v>1084</v>
      </c>
      <c r="C1405" s="4" t="s">
        <v>1925</v>
      </c>
      <c r="D1405" s="4" t="s">
        <v>1085</v>
      </c>
      <c r="E1405" s="4" t="s">
        <v>3385</v>
      </c>
      <c r="F1405" s="4" t="s">
        <v>1878</v>
      </c>
      <c r="G1405" s="4" t="s">
        <v>524</v>
      </c>
      <c r="H1405" s="4" t="s">
        <v>1927</v>
      </c>
    </row>
    <row r="1406" spans="1:8">
      <c r="A1406" s="4">
        <v>357</v>
      </c>
      <c r="B1406" s="4" t="s">
        <v>1084</v>
      </c>
      <c r="C1406" s="4" t="s">
        <v>1925</v>
      </c>
      <c r="D1406" s="4" t="s">
        <v>1085</v>
      </c>
      <c r="E1406" s="4" t="s">
        <v>3386</v>
      </c>
      <c r="F1406" s="4" t="s">
        <v>3387</v>
      </c>
      <c r="G1406" s="4"/>
      <c r="H1406" s="4"/>
    </row>
    <row r="1407" spans="1:8">
      <c r="A1407" s="4">
        <v>357</v>
      </c>
      <c r="B1407" s="4" t="s">
        <v>1084</v>
      </c>
      <c r="C1407" s="4" t="s">
        <v>1930</v>
      </c>
      <c r="D1407" s="4" t="s">
        <v>1086</v>
      </c>
      <c r="E1407" s="4" t="s">
        <v>1086</v>
      </c>
      <c r="F1407" s="4" t="s">
        <v>1879</v>
      </c>
      <c r="G1407" s="4"/>
      <c r="H1407" s="4"/>
    </row>
    <row r="1408" spans="1:8" ht="27.6">
      <c r="A1408" s="4">
        <v>358</v>
      </c>
      <c r="B1408" s="4" t="s">
        <v>1087</v>
      </c>
      <c r="C1408" s="4" t="s">
        <v>1925</v>
      </c>
      <c r="D1408" s="4" t="s">
        <v>1088</v>
      </c>
      <c r="E1408" s="4" t="s">
        <v>3388</v>
      </c>
      <c r="F1408" s="4" t="s">
        <v>1880</v>
      </c>
      <c r="G1408" s="4" t="s">
        <v>414</v>
      </c>
      <c r="H1408" s="4" t="s">
        <v>1927</v>
      </c>
    </row>
    <row r="1409" spans="1:8">
      <c r="A1409" s="4">
        <v>358</v>
      </c>
      <c r="B1409" s="4" t="s">
        <v>1087</v>
      </c>
      <c r="C1409" s="4" t="s">
        <v>1925</v>
      </c>
      <c r="D1409" s="4" t="s">
        <v>1088</v>
      </c>
      <c r="E1409" s="4" t="s">
        <v>3389</v>
      </c>
      <c r="F1409" s="4" t="s">
        <v>3390</v>
      </c>
      <c r="G1409" s="4"/>
      <c r="H1409" s="4"/>
    </row>
    <row r="1410" spans="1:8">
      <c r="A1410" s="4">
        <v>358</v>
      </c>
      <c r="B1410" s="4" t="s">
        <v>1087</v>
      </c>
      <c r="C1410" s="4" t="s">
        <v>1925</v>
      </c>
      <c r="D1410" s="4" t="s">
        <v>1088</v>
      </c>
      <c r="E1410" s="4" t="s">
        <v>3391</v>
      </c>
      <c r="F1410" s="4" t="s">
        <v>3392</v>
      </c>
      <c r="G1410" s="4"/>
      <c r="H1410" s="4"/>
    </row>
    <row r="1411" spans="1:8">
      <c r="A1411" s="4">
        <v>358</v>
      </c>
      <c r="B1411" s="4" t="s">
        <v>1087</v>
      </c>
      <c r="C1411" s="4" t="s">
        <v>1930</v>
      </c>
      <c r="D1411" s="4" t="s">
        <v>1089</v>
      </c>
      <c r="E1411" s="4" t="s">
        <v>1089</v>
      </c>
      <c r="F1411" s="4" t="s">
        <v>1881</v>
      </c>
      <c r="G1411" s="4"/>
      <c r="H1411" s="4"/>
    </row>
    <row r="1412" spans="1:8" ht="27.6">
      <c r="A1412" s="4">
        <v>359</v>
      </c>
      <c r="B1412" s="4" t="s">
        <v>1090</v>
      </c>
      <c r="C1412" s="4" t="s">
        <v>1925</v>
      </c>
      <c r="D1412" s="4" t="s">
        <v>1091</v>
      </c>
      <c r="E1412" s="4" t="s">
        <v>3393</v>
      </c>
      <c r="F1412" s="4" t="s">
        <v>1882</v>
      </c>
      <c r="G1412" s="4" t="s">
        <v>211</v>
      </c>
      <c r="H1412" s="4" t="s">
        <v>1927</v>
      </c>
    </row>
    <row r="1413" spans="1:8">
      <c r="A1413" s="4">
        <v>359</v>
      </c>
      <c r="B1413" s="4" t="s">
        <v>1090</v>
      </c>
      <c r="C1413" s="4" t="s">
        <v>1925</v>
      </c>
      <c r="D1413" s="4" t="s">
        <v>1091</v>
      </c>
      <c r="E1413" s="4" t="s">
        <v>3394</v>
      </c>
      <c r="F1413" s="4" t="s">
        <v>3395</v>
      </c>
      <c r="G1413" s="4"/>
      <c r="H1413" s="4"/>
    </row>
    <row r="1414" spans="1:8">
      <c r="A1414" s="4">
        <v>359</v>
      </c>
      <c r="B1414" s="4" t="s">
        <v>1090</v>
      </c>
      <c r="C1414" s="4" t="s">
        <v>1930</v>
      </c>
      <c r="D1414" s="4" t="s">
        <v>1092</v>
      </c>
      <c r="E1414" s="4" t="s">
        <v>1092</v>
      </c>
      <c r="F1414" s="4" t="s">
        <v>1326</v>
      </c>
      <c r="G1414" s="4"/>
      <c r="H1414" s="4"/>
    </row>
    <row r="1415" spans="1:8" ht="27.6">
      <c r="A1415" s="4">
        <v>360</v>
      </c>
      <c r="B1415" s="4" t="s">
        <v>1093</v>
      </c>
      <c r="C1415" s="4" t="s">
        <v>1925</v>
      </c>
      <c r="D1415" s="4" t="s">
        <v>1094</v>
      </c>
      <c r="E1415" s="4" t="s">
        <v>3396</v>
      </c>
      <c r="F1415" s="4" t="s">
        <v>1883</v>
      </c>
      <c r="G1415" s="4" t="s">
        <v>131</v>
      </c>
      <c r="H1415" s="4" t="s">
        <v>1927</v>
      </c>
    </row>
    <row r="1416" spans="1:8">
      <c r="A1416" s="4">
        <v>360</v>
      </c>
      <c r="B1416" s="4" t="s">
        <v>1093</v>
      </c>
      <c r="C1416" s="4" t="s">
        <v>1925</v>
      </c>
      <c r="D1416" s="4" t="s">
        <v>1094</v>
      </c>
      <c r="E1416" s="4" t="s">
        <v>3397</v>
      </c>
      <c r="F1416" s="4" t="s">
        <v>3398</v>
      </c>
      <c r="G1416" s="4"/>
      <c r="H1416" s="4"/>
    </row>
    <row r="1417" spans="1:8">
      <c r="A1417" s="4">
        <v>360</v>
      </c>
      <c r="B1417" s="4" t="s">
        <v>1093</v>
      </c>
      <c r="C1417" s="4" t="s">
        <v>1925</v>
      </c>
      <c r="D1417" s="4" t="s">
        <v>1094</v>
      </c>
      <c r="E1417" s="4" t="s">
        <v>3399</v>
      </c>
      <c r="F1417" s="4" t="s">
        <v>3400</v>
      </c>
      <c r="G1417" s="4"/>
      <c r="H1417" s="4"/>
    </row>
    <row r="1418" spans="1:8">
      <c r="A1418" s="4">
        <v>360</v>
      </c>
      <c r="B1418" s="4" t="s">
        <v>1093</v>
      </c>
      <c r="C1418" s="4" t="s">
        <v>1930</v>
      </c>
      <c r="D1418" s="4" t="s">
        <v>1095</v>
      </c>
      <c r="E1418" s="4" t="s">
        <v>1095</v>
      </c>
      <c r="F1418" s="4" t="s">
        <v>1884</v>
      </c>
      <c r="G1418" s="4"/>
      <c r="H1418" s="4"/>
    </row>
    <row r="1419" spans="1:8">
      <c r="A1419" s="4">
        <v>360</v>
      </c>
      <c r="B1419" s="4" t="s">
        <v>1093</v>
      </c>
      <c r="C1419" s="4" t="s">
        <v>1936</v>
      </c>
      <c r="D1419" s="4" t="s">
        <v>130</v>
      </c>
      <c r="E1419" s="4" t="s">
        <v>1092</v>
      </c>
      <c r="F1419" s="4" t="s">
        <v>1326</v>
      </c>
      <c r="G1419" s="4"/>
      <c r="H1419" s="4"/>
    </row>
    <row r="1420" spans="1:8" ht="27.6">
      <c r="A1420" s="4">
        <v>361</v>
      </c>
      <c r="B1420" s="4" t="s">
        <v>1096</v>
      </c>
      <c r="C1420" s="4" t="s">
        <v>1925</v>
      </c>
      <c r="D1420" s="4" t="s">
        <v>1097</v>
      </c>
      <c r="E1420" s="4" t="s">
        <v>3401</v>
      </c>
      <c r="F1420" s="4" t="s">
        <v>1885</v>
      </c>
      <c r="G1420" s="4" t="s">
        <v>414</v>
      </c>
      <c r="H1420" s="4" t="s">
        <v>1927</v>
      </c>
    </row>
    <row r="1421" spans="1:8">
      <c r="A1421" s="4">
        <v>361</v>
      </c>
      <c r="B1421" s="4" t="s">
        <v>1096</v>
      </c>
      <c r="C1421" s="4" t="s">
        <v>1925</v>
      </c>
      <c r="D1421" s="4" t="s">
        <v>1097</v>
      </c>
      <c r="E1421" s="4" t="s">
        <v>3402</v>
      </c>
      <c r="F1421" s="4" t="s">
        <v>3403</v>
      </c>
      <c r="G1421" s="4"/>
      <c r="H1421" s="4"/>
    </row>
    <row r="1422" spans="1:8">
      <c r="A1422" s="4">
        <v>361</v>
      </c>
      <c r="B1422" s="4" t="s">
        <v>1096</v>
      </c>
      <c r="C1422" s="4" t="s">
        <v>1930</v>
      </c>
      <c r="D1422" s="4" t="s">
        <v>1098</v>
      </c>
      <c r="E1422" s="4" t="s">
        <v>1098</v>
      </c>
      <c r="F1422" s="4" t="s">
        <v>1886</v>
      </c>
      <c r="G1422" s="4"/>
      <c r="H1422" s="4"/>
    </row>
    <row r="1423" spans="1:8" ht="27.6">
      <c r="A1423" s="4">
        <v>362</v>
      </c>
      <c r="B1423" s="4" t="s">
        <v>1099</v>
      </c>
      <c r="C1423" s="4" t="s">
        <v>1925</v>
      </c>
      <c r="D1423" s="4" t="s">
        <v>1100</v>
      </c>
      <c r="E1423" s="4" t="s">
        <v>3404</v>
      </c>
      <c r="F1423" s="4" t="s">
        <v>1887</v>
      </c>
      <c r="G1423" s="4" t="s">
        <v>1002</v>
      </c>
      <c r="H1423" s="4" t="s">
        <v>1927</v>
      </c>
    </row>
    <row r="1424" spans="1:8">
      <c r="A1424" s="4">
        <v>362</v>
      </c>
      <c r="B1424" s="4" t="s">
        <v>1099</v>
      </c>
      <c r="C1424" s="4" t="s">
        <v>1925</v>
      </c>
      <c r="D1424" s="4" t="s">
        <v>1100</v>
      </c>
      <c r="E1424" s="4" t="s">
        <v>3405</v>
      </c>
      <c r="F1424" s="4" t="s">
        <v>3406</v>
      </c>
      <c r="G1424" s="4"/>
      <c r="H1424" s="4"/>
    </row>
    <row r="1425" spans="1:8">
      <c r="A1425" s="4">
        <v>362</v>
      </c>
      <c r="B1425" s="4" t="s">
        <v>1099</v>
      </c>
      <c r="C1425" s="4" t="s">
        <v>1925</v>
      </c>
      <c r="D1425" s="4" t="s">
        <v>1100</v>
      </c>
      <c r="E1425" s="4" t="s">
        <v>3407</v>
      </c>
      <c r="F1425" s="4" t="s">
        <v>3408</v>
      </c>
      <c r="G1425" s="4"/>
      <c r="H1425" s="4"/>
    </row>
    <row r="1426" spans="1:8">
      <c r="A1426" s="4">
        <v>362</v>
      </c>
      <c r="B1426" s="4" t="s">
        <v>1099</v>
      </c>
      <c r="C1426" s="4" t="s">
        <v>1930</v>
      </c>
      <c r="D1426" s="4" t="s">
        <v>1101</v>
      </c>
      <c r="E1426" s="4" t="s">
        <v>1101</v>
      </c>
      <c r="F1426" s="4" t="s">
        <v>1828</v>
      </c>
      <c r="G1426" s="4"/>
      <c r="H1426" s="4"/>
    </row>
    <row r="1427" spans="1:8">
      <c r="A1427" s="4">
        <v>362</v>
      </c>
      <c r="B1427" s="4" t="s">
        <v>1099</v>
      </c>
      <c r="C1427" s="4" t="s">
        <v>1936</v>
      </c>
      <c r="D1427" s="4" t="s">
        <v>1001</v>
      </c>
      <c r="E1427" s="4" t="s">
        <v>1101</v>
      </c>
      <c r="F1427" s="4" t="s">
        <v>1828</v>
      </c>
      <c r="G1427" s="4"/>
      <c r="H1427" s="4"/>
    </row>
    <row r="1428" spans="1:8" ht="27.6">
      <c r="A1428" s="4">
        <v>363</v>
      </c>
      <c r="B1428" s="4" t="s">
        <v>1102</v>
      </c>
      <c r="C1428" s="4" t="s">
        <v>1925</v>
      </c>
      <c r="D1428" s="4" t="s">
        <v>1103</v>
      </c>
      <c r="E1428" s="4" t="s">
        <v>3409</v>
      </c>
      <c r="F1428" s="4" t="s">
        <v>1888</v>
      </c>
      <c r="G1428" s="4" t="s">
        <v>1002</v>
      </c>
      <c r="H1428" s="4" t="s">
        <v>1927</v>
      </c>
    </row>
    <row r="1429" spans="1:8">
      <c r="A1429" s="4">
        <v>363</v>
      </c>
      <c r="B1429" s="4" t="s">
        <v>1102</v>
      </c>
      <c r="C1429" s="4" t="s">
        <v>1925</v>
      </c>
      <c r="D1429" s="4" t="s">
        <v>1103</v>
      </c>
      <c r="E1429" s="4" t="s">
        <v>3410</v>
      </c>
      <c r="F1429" s="4" t="s">
        <v>3411</v>
      </c>
      <c r="G1429" s="4"/>
      <c r="H1429" s="4"/>
    </row>
    <row r="1430" spans="1:8">
      <c r="A1430" s="4">
        <v>363</v>
      </c>
      <c r="B1430" s="4" t="s">
        <v>1102</v>
      </c>
      <c r="C1430" s="4" t="s">
        <v>1930</v>
      </c>
      <c r="D1430" s="4" t="s">
        <v>1104</v>
      </c>
      <c r="E1430" s="4" t="s">
        <v>1104</v>
      </c>
      <c r="F1430" s="4" t="s">
        <v>1889</v>
      </c>
      <c r="G1430" s="4"/>
      <c r="H1430" s="4"/>
    </row>
    <row r="1431" spans="1:8">
      <c r="A1431" s="4">
        <v>363</v>
      </c>
      <c r="B1431" s="4" t="s">
        <v>1102</v>
      </c>
      <c r="C1431" s="4" t="s">
        <v>1936</v>
      </c>
      <c r="D1431" s="4" t="s">
        <v>1001</v>
      </c>
      <c r="E1431" s="4" t="s">
        <v>1101</v>
      </c>
      <c r="F1431" s="4" t="s">
        <v>1828</v>
      </c>
      <c r="G1431" s="4"/>
      <c r="H1431" s="4"/>
    </row>
    <row r="1432" spans="1:8" ht="27.6">
      <c r="A1432" s="4">
        <v>364</v>
      </c>
      <c r="B1432" s="4" t="s">
        <v>1105</v>
      </c>
      <c r="C1432" s="4" t="s">
        <v>1925</v>
      </c>
      <c r="D1432" s="4" t="s">
        <v>1106</v>
      </c>
      <c r="E1432" s="4" t="s">
        <v>3412</v>
      </c>
      <c r="F1432" s="4" t="s">
        <v>1890</v>
      </c>
      <c r="G1432" s="4" t="s">
        <v>752</v>
      </c>
      <c r="H1432" s="4" t="s">
        <v>1927</v>
      </c>
    </row>
    <row r="1433" spans="1:8">
      <c r="A1433" s="4">
        <v>364</v>
      </c>
      <c r="B1433" s="4" t="s">
        <v>1105</v>
      </c>
      <c r="C1433" s="4" t="s">
        <v>1925</v>
      </c>
      <c r="D1433" s="4" t="s">
        <v>1106</v>
      </c>
      <c r="E1433" s="4" t="s">
        <v>3413</v>
      </c>
      <c r="F1433" s="4" t="s">
        <v>3414</v>
      </c>
      <c r="G1433" s="4"/>
      <c r="H1433" s="4"/>
    </row>
    <row r="1434" spans="1:8">
      <c r="A1434" s="4">
        <v>364</v>
      </c>
      <c r="B1434" s="4" t="s">
        <v>1105</v>
      </c>
      <c r="C1434" s="4" t="s">
        <v>1925</v>
      </c>
      <c r="D1434" s="4" t="s">
        <v>1106</v>
      </c>
      <c r="E1434" s="4" t="s">
        <v>3415</v>
      </c>
      <c r="F1434" s="4" t="s">
        <v>3416</v>
      </c>
      <c r="G1434" s="4"/>
      <c r="H1434" s="4"/>
    </row>
    <row r="1435" spans="1:8">
      <c r="A1435" s="4">
        <v>364</v>
      </c>
      <c r="B1435" s="4" t="s">
        <v>1105</v>
      </c>
      <c r="C1435" s="4" t="s">
        <v>1930</v>
      </c>
      <c r="D1435" s="4" t="s">
        <v>1107</v>
      </c>
      <c r="E1435" s="4" t="s">
        <v>1107</v>
      </c>
      <c r="F1435" s="4" t="s">
        <v>1891</v>
      </c>
      <c r="G1435" s="4"/>
      <c r="H1435" s="4"/>
    </row>
    <row r="1436" spans="1:8">
      <c r="A1436" s="4">
        <v>364</v>
      </c>
      <c r="B1436" s="4" t="s">
        <v>1105</v>
      </c>
      <c r="C1436" s="4" t="s">
        <v>1936</v>
      </c>
      <c r="D1436" s="4" t="s">
        <v>757</v>
      </c>
      <c r="E1436" s="4" t="s">
        <v>765</v>
      </c>
      <c r="F1436" s="4" t="s">
        <v>1689</v>
      </c>
      <c r="G1436" s="4"/>
      <c r="H1436" s="4"/>
    </row>
    <row r="1437" spans="1:8" ht="27.6">
      <c r="A1437" s="4">
        <v>365</v>
      </c>
      <c r="B1437" s="4" t="s">
        <v>1108</v>
      </c>
      <c r="C1437" s="4" t="s">
        <v>1925</v>
      </c>
      <c r="D1437" s="4" t="s">
        <v>1109</v>
      </c>
      <c r="E1437" s="4" t="s">
        <v>3417</v>
      </c>
      <c r="F1437" s="4" t="s">
        <v>1892</v>
      </c>
      <c r="G1437" s="4" t="s">
        <v>211</v>
      </c>
      <c r="H1437" s="4" t="s">
        <v>1927</v>
      </c>
    </row>
    <row r="1438" spans="1:8">
      <c r="A1438" s="4">
        <v>365</v>
      </c>
      <c r="B1438" s="4" t="s">
        <v>1108</v>
      </c>
      <c r="C1438" s="4" t="s">
        <v>1925</v>
      </c>
      <c r="D1438" s="4" t="s">
        <v>1109</v>
      </c>
      <c r="E1438" s="4" t="s">
        <v>3418</v>
      </c>
      <c r="F1438" s="4" t="s">
        <v>3419</v>
      </c>
      <c r="G1438" s="4"/>
      <c r="H1438" s="4"/>
    </row>
    <row r="1439" spans="1:8">
      <c r="A1439" s="4">
        <v>365</v>
      </c>
      <c r="B1439" s="4" t="s">
        <v>1108</v>
      </c>
      <c r="C1439" s="4" t="s">
        <v>1925</v>
      </c>
      <c r="D1439" s="4" t="s">
        <v>1109</v>
      </c>
      <c r="E1439" s="4" t="s">
        <v>3420</v>
      </c>
      <c r="F1439" s="4" t="s">
        <v>3421</v>
      </c>
      <c r="G1439" s="4"/>
      <c r="H1439" s="4"/>
    </row>
    <row r="1440" spans="1:8">
      <c r="A1440" s="4">
        <v>365</v>
      </c>
      <c r="B1440" s="4" t="s">
        <v>1108</v>
      </c>
      <c r="C1440" s="4" t="s">
        <v>1930</v>
      </c>
      <c r="D1440" s="4" t="s">
        <v>1110</v>
      </c>
      <c r="E1440" s="4" t="s">
        <v>1110</v>
      </c>
      <c r="F1440" s="4" t="s">
        <v>1893</v>
      </c>
      <c r="G1440" s="4"/>
      <c r="H14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 annuel</vt:lpstr>
      <vt:lpstr>Mode d'emploi</vt:lpstr>
      <vt:lpstr>Couverture NT</vt:lpstr>
      <vt:lpstr>Index des thèmes</vt:lpstr>
      <vt:lpstr>Audio quotidien</vt:lpstr>
      <vt:lpstr>Sources audio</vt:lpstr>
      <vt:lpstr>Lecture du jour</vt:lpstr>
      <vt:lpstr>Liens 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Jean-Noël Doux</cp:lastModifiedBy>
  <dcterms:modified xsi:type="dcterms:W3CDTF">2026-10-03T06:29:53Z</dcterms:modified>
</cp:coreProperties>
</file>